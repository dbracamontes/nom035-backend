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cuments\BUSINESS\NOM2U\"/>
    </mc:Choice>
  </mc:AlternateContent>
  <xr:revisionPtr revIDLastSave="0" documentId="13_ncr:1_{B29800B3-0283-40A5-B00D-3D4156209206}" xr6:coauthVersionLast="47" xr6:coauthVersionMax="47" xr10:uidLastSave="{00000000-0000-0000-0000-000000000000}"/>
  <bookViews>
    <workbookView xWindow="-120" yWindow="-120" windowWidth="29040" windowHeight="15840" activeTab="6" xr2:uid="{00000000-000D-0000-FFFF-FFFF00000000}"/>
  </bookViews>
  <sheets>
    <sheet name="Respuestas" sheetId="1" r:id="rId1"/>
    <sheet name="General" sheetId="2" state="hidden" r:id="rId2"/>
    <sheet name="Habitos" sheetId="3" state="hidden" r:id="rId3"/>
    <sheet name="Psicologicos" sheetId="4" state="hidden" r:id="rId4"/>
    <sheet name="Ambiente Laboral" sheetId="5" state="hidden" r:id="rId5"/>
    <sheet name="Ponderación médica" sheetId="6" state="hidden" r:id="rId6"/>
    <sheet name="Reporte In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2" i="7" l="1"/>
  <c r="H41" i="7"/>
  <c r="H40" i="7"/>
  <c r="H39" i="7"/>
  <c r="H38" i="7"/>
  <c r="C34" i="7"/>
  <c r="C33" i="7"/>
  <c r="C32" i="7"/>
  <c r="G31" i="7"/>
  <c r="C31" i="7"/>
  <c r="C30" i="7"/>
  <c r="C29" i="7"/>
  <c r="C27" i="7"/>
  <c r="C26" i="7"/>
  <c r="C25" i="7"/>
  <c r="C24" i="7"/>
  <c r="C23" i="7"/>
  <c r="C22" i="7"/>
  <c r="C21" i="7"/>
  <c r="C15" i="7"/>
  <c r="C14" i="7"/>
  <c r="H11" i="7"/>
  <c r="H9" i="7"/>
  <c r="M43" i="6"/>
  <c r="L43" i="6"/>
  <c r="M42" i="6"/>
  <c r="L42" i="6"/>
  <c r="M41" i="6"/>
  <c r="L41" i="6"/>
  <c r="M40" i="6"/>
  <c r="L40" i="6"/>
  <c r="M39" i="6"/>
  <c r="L39" i="6"/>
  <c r="M38" i="6"/>
  <c r="L38" i="6"/>
  <c r="M37" i="6"/>
  <c r="L37" i="6"/>
  <c r="M36" i="6"/>
  <c r="L36" i="6"/>
  <c r="M35" i="6"/>
  <c r="L35" i="6"/>
  <c r="M34" i="6"/>
  <c r="L34" i="6"/>
  <c r="M33" i="6"/>
  <c r="L33" i="6"/>
  <c r="M32" i="6"/>
  <c r="L32" i="6"/>
  <c r="M31" i="6"/>
  <c r="L31" i="6"/>
  <c r="M30" i="6"/>
  <c r="L30" i="6"/>
  <c r="M29" i="6"/>
  <c r="L29" i="6"/>
  <c r="M28" i="6"/>
  <c r="L28" i="6"/>
  <c r="M27" i="6"/>
  <c r="L27" i="6"/>
  <c r="M26" i="6"/>
  <c r="L26" i="6"/>
  <c r="M25" i="6"/>
  <c r="L25" i="6"/>
  <c r="M24" i="6"/>
  <c r="L24" i="6"/>
  <c r="M23" i="6"/>
  <c r="L23" i="6"/>
  <c r="M22" i="6"/>
  <c r="L22" i="6"/>
  <c r="M21" i="6"/>
  <c r="L21" i="6"/>
  <c r="M20" i="6"/>
  <c r="L20" i="6"/>
  <c r="M19" i="6"/>
  <c r="L19" i="6"/>
  <c r="M18" i="6"/>
  <c r="L18" i="6"/>
  <c r="M17" i="6"/>
  <c r="L17" i="6"/>
  <c r="M16" i="6"/>
  <c r="L16" i="6"/>
  <c r="M15" i="6"/>
  <c r="L15" i="6"/>
  <c r="M14" i="6"/>
  <c r="L14" i="6"/>
  <c r="M13" i="6"/>
  <c r="L13" i="6"/>
  <c r="M12" i="6"/>
  <c r="L12" i="6"/>
  <c r="M11" i="6"/>
  <c r="L11" i="6"/>
  <c r="M10" i="6"/>
  <c r="L10" i="6"/>
  <c r="M9" i="6"/>
  <c r="L9" i="6"/>
  <c r="M8" i="6"/>
  <c r="L8" i="6"/>
  <c r="M7" i="6"/>
  <c r="L7" i="6"/>
  <c r="M6" i="6"/>
  <c r="L6" i="6"/>
  <c r="M5" i="6"/>
  <c r="L5" i="6"/>
  <c r="M4" i="6"/>
  <c r="M2" i="6" s="1"/>
  <c r="E41" i="7" s="1"/>
  <c r="L4" i="6"/>
  <c r="L2" i="6" s="1"/>
  <c r="C41" i="7" s="1"/>
  <c r="I3" i="6"/>
  <c r="I86" i="6" s="1"/>
  <c r="J86" i="6" s="1"/>
  <c r="M139" i="5"/>
  <c r="L139" i="5"/>
  <c r="M137" i="5"/>
  <c r="L137" i="5"/>
  <c r="M135" i="5"/>
  <c r="L135" i="5"/>
  <c r="M133" i="5"/>
  <c r="L133" i="5"/>
  <c r="M131" i="5"/>
  <c r="L131" i="5"/>
  <c r="M129" i="5"/>
  <c r="L129" i="5"/>
  <c r="M127" i="5"/>
  <c r="L127" i="5"/>
  <c r="M125" i="5"/>
  <c r="L125" i="5"/>
  <c r="M123" i="5"/>
  <c r="L123" i="5"/>
  <c r="M121" i="5"/>
  <c r="L121" i="5"/>
  <c r="M119" i="5"/>
  <c r="L119" i="5"/>
  <c r="M117" i="5"/>
  <c r="L117" i="5"/>
  <c r="M115" i="5"/>
  <c r="L115" i="5"/>
  <c r="M113" i="5"/>
  <c r="L113" i="5"/>
  <c r="M111" i="5"/>
  <c r="L111" i="5"/>
  <c r="M109" i="5"/>
  <c r="L109" i="5"/>
  <c r="M107" i="5"/>
  <c r="L107" i="5"/>
  <c r="M105" i="5"/>
  <c r="L105" i="5"/>
  <c r="M103" i="5"/>
  <c r="L103" i="5"/>
  <c r="M101" i="5"/>
  <c r="L101" i="5"/>
  <c r="M99" i="5"/>
  <c r="L99" i="5"/>
  <c r="M97" i="5"/>
  <c r="L97" i="5"/>
  <c r="M95" i="5"/>
  <c r="L95" i="5"/>
  <c r="M93" i="5"/>
  <c r="L93" i="5"/>
  <c r="M91" i="5"/>
  <c r="L91" i="5"/>
  <c r="M89" i="5"/>
  <c r="L89" i="5"/>
  <c r="M87" i="5"/>
  <c r="L87" i="5"/>
  <c r="M85" i="5"/>
  <c r="L85" i="5"/>
  <c r="M83" i="5"/>
  <c r="L83" i="5"/>
  <c r="M81" i="5"/>
  <c r="L81" i="5"/>
  <c r="M79" i="5"/>
  <c r="L79" i="5"/>
  <c r="M77" i="5"/>
  <c r="L77" i="5"/>
  <c r="M75" i="5"/>
  <c r="L75" i="5"/>
  <c r="M73" i="5"/>
  <c r="L73" i="5"/>
  <c r="M71" i="5"/>
  <c r="L71" i="5"/>
  <c r="M69" i="5"/>
  <c r="L69" i="5"/>
  <c r="M67" i="5"/>
  <c r="L67" i="5"/>
  <c r="M65" i="5"/>
  <c r="L65" i="5"/>
  <c r="M63" i="5"/>
  <c r="L63" i="5"/>
  <c r="M61" i="5"/>
  <c r="L61" i="5"/>
  <c r="M59" i="5"/>
  <c r="L59" i="5"/>
  <c r="M57" i="5"/>
  <c r="L57" i="5"/>
  <c r="M55" i="5"/>
  <c r="L55" i="5"/>
  <c r="M53" i="5"/>
  <c r="L53" i="5"/>
  <c r="M51" i="5"/>
  <c r="L51" i="5"/>
  <c r="M49" i="5"/>
  <c r="L49" i="5"/>
  <c r="M47" i="5"/>
  <c r="L47" i="5"/>
  <c r="M45" i="5"/>
  <c r="L45" i="5"/>
  <c r="M43" i="5"/>
  <c r="L43" i="5"/>
  <c r="M41" i="5"/>
  <c r="L41" i="5"/>
  <c r="M39" i="5"/>
  <c r="L39" i="5"/>
  <c r="M37" i="5"/>
  <c r="L37" i="5"/>
  <c r="M35" i="5"/>
  <c r="L35" i="5"/>
  <c r="M33" i="5"/>
  <c r="L33" i="5"/>
  <c r="M31" i="5"/>
  <c r="L31" i="5"/>
  <c r="M29" i="5"/>
  <c r="L29" i="5"/>
  <c r="M27" i="5"/>
  <c r="L27" i="5"/>
  <c r="M25" i="5"/>
  <c r="L25" i="5"/>
  <c r="M23" i="5"/>
  <c r="L23" i="5"/>
  <c r="M21" i="5"/>
  <c r="L21" i="5"/>
  <c r="M19" i="5"/>
  <c r="L19" i="5"/>
  <c r="M17" i="5"/>
  <c r="L17" i="5"/>
  <c r="M15" i="5"/>
  <c r="L15" i="5"/>
  <c r="M13" i="5"/>
  <c r="L13" i="5"/>
  <c r="M11" i="5"/>
  <c r="L11" i="5"/>
  <c r="M9" i="5"/>
  <c r="L9" i="5"/>
  <c r="M7" i="5"/>
  <c r="M1" i="5" s="1"/>
  <c r="E39" i="7" s="1"/>
  <c r="L7" i="5"/>
  <c r="M5" i="5"/>
  <c r="L5" i="5"/>
  <c r="L1" i="5" s="1"/>
  <c r="C39" i="7" s="1"/>
  <c r="I39" i="7" s="1"/>
  <c r="C2" i="5"/>
  <c r="C124" i="5" s="1"/>
  <c r="M39" i="4"/>
  <c r="L39" i="4"/>
  <c r="M37" i="4"/>
  <c r="L37" i="4"/>
  <c r="M35" i="4"/>
  <c r="L35" i="4"/>
  <c r="M33" i="4"/>
  <c r="L33" i="4"/>
  <c r="M31" i="4"/>
  <c r="L31" i="4"/>
  <c r="M29" i="4"/>
  <c r="L29" i="4"/>
  <c r="M27" i="4"/>
  <c r="L27" i="4"/>
  <c r="M25" i="4"/>
  <c r="L25" i="4"/>
  <c r="M23" i="4"/>
  <c r="L23" i="4"/>
  <c r="M21" i="4"/>
  <c r="L21" i="4"/>
  <c r="M19" i="4"/>
  <c r="L19" i="4"/>
  <c r="M17" i="4"/>
  <c r="L17" i="4"/>
  <c r="M15" i="4"/>
  <c r="L15" i="4"/>
  <c r="M13" i="4"/>
  <c r="L13" i="4"/>
  <c r="M11" i="4"/>
  <c r="L11" i="4"/>
  <c r="M9" i="4"/>
  <c r="L9" i="4"/>
  <c r="M7" i="4"/>
  <c r="L7" i="4"/>
  <c r="M5" i="4"/>
  <c r="M1" i="4" s="1"/>
  <c r="E42" i="7" s="1"/>
  <c r="L5" i="4"/>
  <c r="C2" i="4"/>
  <c r="C38" i="4" s="1"/>
  <c r="M43" i="3"/>
  <c r="L43" i="3"/>
  <c r="M41" i="3"/>
  <c r="L41" i="3"/>
  <c r="M39" i="3"/>
  <c r="L39" i="3"/>
  <c r="M37" i="3"/>
  <c r="L37" i="3"/>
  <c r="M35" i="3"/>
  <c r="L35" i="3"/>
  <c r="M33" i="3"/>
  <c r="L33" i="3"/>
  <c r="M31" i="3"/>
  <c r="L31" i="3"/>
  <c r="M29" i="3"/>
  <c r="L29" i="3"/>
  <c r="M27" i="3"/>
  <c r="L27" i="3"/>
  <c r="M25" i="3"/>
  <c r="L25" i="3"/>
  <c r="L23" i="3"/>
  <c r="L21" i="3"/>
  <c r="M19" i="3"/>
  <c r="L19" i="3"/>
  <c r="M17" i="3"/>
  <c r="L17" i="3"/>
  <c r="M15" i="3"/>
  <c r="L15" i="3"/>
  <c r="M13" i="3"/>
  <c r="L13" i="3"/>
  <c r="M11" i="3"/>
  <c r="L11" i="3"/>
  <c r="M9" i="3"/>
  <c r="L9" i="3"/>
  <c r="L1" i="3" s="1"/>
  <c r="C40" i="7" s="1"/>
  <c r="M7" i="3"/>
  <c r="L7" i="3"/>
  <c r="M5" i="3"/>
  <c r="L5" i="3"/>
  <c r="C2" i="3"/>
  <c r="C30" i="3" s="1"/>
  <c r="B67" i="7" s="1"/>
  <c r="M1" i="3"/>
  <c r="E40" i="7" s="1"/>
  <c r="N45" i="2"/>
  <c r="M45" i="2"/>
  <c r="N43" i="2"/>
  <c r="M43" i="2"/>
  <c r="N41" i="2"/>
  <c r="M41" i="2"/>
  <c r="N39" i="2"/>
  <c r="M39" i="2"/>
  <c r="N37" i="2"/>
  <c r="M37" i="2"/>
  <c r="N35" i="2"/>
  <c r="M35" i="2"/>
  <c r="N33" i="2"/>
  <c r="M33" i="2"/>
  <c r="N31" i="2"/>
  <c r="M31" i="2"/>
  <c r="N29" i="2"/>
  <c r="M29" i="2"/>
  <c r="N27" i="2"/>
  <c r="M27" i="2"/>
  <c r="N25" i="2"/>
  <c r="M25" i="2"/>
  <c r="N23" i="2"/>
  <c r="M23" i="2"/>
  <c r="N21" i="2"/>
  <c r="M21" i="2"/>
  <c r="N19" i="2"/>
  <c r="M19" i="2"/>
  <c r="N17" i="2"/>
  <c r="M17" i="2"/>
  <c r="N15" i="2"/>
  <c r="M15" i="2"/>
  <c r="N13" i="2"/>
  <c r="M13" i="2"/>
  <c r="N11" i="2"/>
  <c r="M11" i="2"/>
  <c r="N9" i="2"/>
  <c r="M9" i="2"/>
  <c r="N7" i="2"/>
  <c r="M7" i="2"/>
  <c r="N5" i="2"/>
  <c r="N1" i="2" s="1"/>
  <c r="C38" i="7" s="1"/>
  <c r="I38" i="7" s="1"/>
  <c r="M5" i="2"/>
  <c r="M1" i="2" s="1"/>
  <c r="E38" i="7" s="1"/>
  <c r="C2" i="2"/>
  <c r="C44" i="2" s="1"/>
  <c r="B1" i="1"/>
  <c r="C1" i="1" s="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s="1"/>
  <c r="CP1" i="1" s="1"/>
  <c r="CQ1" i="1" s="1"/>
  <c r="CR1" i="1" s="1"/>
  <c r="CS1" i="1" s="1"/>
  <c r="CT1" i="1" s="1"/>
  <c r="CU1" i="1" s="1"/>
  <c r="CV1" i="1" s="1"/>
  <c r="CW1" i="1" s="1"/>
  <c r="CX1" i="1" s="1"/>
  <c r="CY1" i="1" s="1"/>
  <c r="CZ1" i="1" s="1"/>
  <c r="DA1" i="1" s="1"/>
  <c r="DB1" i="1" s="1"/>
  <c r="DC1" i="1" s="1"/>
  <c r="DD1" i="1" s="1"/>
  <c r="DE1" i="1" s="1"/>
  <c r="DF1" i="1" s="1"/>
  <c r="DG1" i="1" s="1"/>
  <c r="DH1" i="1" s="1"/>
  <c r="DI1" i="1" s="1"/>
  <c r="DJ1" i="1" s="1"/>
  <c r="DK1" i="1" s="1"/>
  <c r="DL1" i="1" s="1"/>
  <c r="DM1" i="1" s="1"/>
  <c r="DN1" i="1" s="1"/>
  <c r="DO1" i="1" s="1"/>
  <c r="DP1" i="1" s="1"/>
  <c r="DQ1" i="1" s="1"/>
  <c r="DR1" i="1" s="1"/>
  <c r="DS1" i="1" s="1"/>
  <c r="DT1" i="1" s="1"/>
  <c r="DU1" i="1" s="1"/>
  <c r="DV1" i="1" s="1"/>
  <c r="DW1" i="1" s="1"/>
  <c r="DX1" i="1" s="1"/>
  <c r="DY1" i="1" s="1"/>
  <c r="DZ1" i="1" s="1"/>
  <c r="EA1" i="1" s="1"/>
  <c r="EB1" i="1" s="1"/>
  <c r="EC1" i="1" s="1"/>
  <c r="ED1" i="1" s="1"/>
  <c r="EE1" i="1" s="1"/>
  <c r="EF1" i="1" s="1"/>
  <c r="EG1" i="1" s="1"/>
  <c r="EH1" i="1" s="1"/>
  <c r="EI1" i="1" s="1"/>
  <c r="EJ1" i="1" s="1"/>
  <c r="EK1" i="1" s="1"/>
  <c r="EL1" i="1" s="1"/>
  <c r="EM1" i="1" s="1"/>
  <c r="EN1" i="1" s="1"/>
  <c r="EO1" i="1" s="1"/>
  <c r="EP1" i="1" s="1"/>
  <c r="EQ1" i="1" s="1"/>
  <c r="ER1" i="1" s="1"/>
  <c r="ES1" i="1" s="1"/>
  <c r="ET1" i="1" s="1"/>
  <c r="EU1" i="1" s="1"/>
  <c r="EV1" i="1" s="1"/>
  <c r="EW1" i="1" s="1"/>
  <c r="EX1" i="1" s="1"/>
  <c r="EY1" i="1" s="1"/>
  <c r="EZ1" i="1" s="1"/>
  <c r="FA1" i="1" s="1"/>
  <c r="FB1" i="1" s="1"/>
  <c r="FC1" i="1" s="1"/>
  <c r="FD1" i="1" s="1"/>
  <c r="FE1" i="1" s="1"/>
  <c r="FF1" i="1" s="1"/>
  <c r="FG1" i="1" s="1"/>
  <c r="FH1" i="1" s="1"/>
  <c r="FI1" i="1" s="1"/>
  <c r="FJ1" i="1" s="1"/>
  <c r="FK1" i="1" s="1"/>
  <c r="FL1" i="1" s="1"/>
  <c r="FM1" i="1" s="1"/>
  <c r="FN1" i="1" s="1"/>
  <c r="FO1" i="1" s="1"/>
  <c r="FP1" i="1" s="1"/>
  <c r="FQ1" i="1" s="1"/>
  <c r="FR1" i="1" s="1"/>
  <c r="FS1" i="1" s="1"/>
  <c r="FT1" i="1" s="1"/>
  <c r="FU1" i="1" s="1"/>
  <c r="FV1" i="1" s="1"/>
  <c r="FW1" i="1" s="1"/>
  <c r="FX1" i="1" s="1"/>
  <c r="FY1" i="1" s="1"/>
  <c r="FZ1" i="1" s="1"/>
  <c r="GA1" i="1" s="1"/>
  <c r="GB1" i="1" s="1"/>
  <c r="GC1" i="1" s="1"/>
  <c r="GD1" i="1" s="1"/>
  <c r="GE1" i="1" s="1"/>
  <c r="GF1" i="1" s="1"/>
  <c r="GG1" i="1" s="1"/>
  <c r="GH1" i="1" s="1"/>
  <c r="GI1" i="1" s="1"/>
  <c r="GJ1" i="1" s="1"/>
  <c r="GK1" i="1" s="1"/>
  <c r="GL1" i="1" s="1"/>
  <c r="GM1" i="1" s="1"/>
  <c r="GN1" i="1" s="1"/>
  <c r="GO1" i="1" s="1"/>
  <c r="GP1" i="1" s="1"/>
  <c r="GQ1" i="1" s="1"/>
  <c r="GR1" i="1" s="1"/>
  <c r="GS1" i="1" s="1"/>
  <c r="GT1" i="1" s="1"/>
  <c r="GU1" i="1" s="1"/>
  <c r="GV1" i="1" s="1"/>
  <c r="GW1" i="1" s="1"/>
  <c r="GX1" i="1" s="1"/>
  <c r="GY1" i="1" s="1"/>
  <c r="GZ1" i="1" s="1"/>
  <c r="HA1" i="1" s="1"/>
  <c r="HB1" i="1" s="1"/>
  <c r="HC1" i="1" s="1"/>
  <c r="HD1" i="1" s="1"/>
  <c r="HE1" i="1" s="1"/>
  <c r="HF1" i="1" s="1"/>
  <c r="HG1" i="1" s="1"/>
  <c r="HH1" i="1" s="1"/>
  <c r="HI1" i="1" s="1"/>
  <c r="HJ1" i="1" s="1"/>
  <c r="HK1" i="1" s="1"/>
  <c r="HL1" i="1" s="1"/>
  <c r="HM1" i="1" s="1"/>
  <c r="HN1" i="1" s="1"/>
  <c r="HO1" i="1" s="1"/>
  <c r="C18" i="5" l="1"/>
  <c r="C19" i="5" s="1"/>
  <c r="C24" i="2"/>
  <c r="C40" i="5"/>
  <c r="C6" i="3"/>
  <c r="B63" i="7" s="1"/>
  <c r="C32" i="2"/>
  <c r="C8" i="2"/>
  <c r="C40" i="2"/>
  <c r="C16" i="2"/>
  <c r="C30" i="5"/>
  <c r="C56" i="5"/>
  <c r="C72" i="5"/>
  <c r="C88" i="5"/>
  <c r="C104" i="5"/>
  <c r="I7" i="6"/>
  <c r="J7" i="6" s="1"/>
  <c r="I15" i="6"/>
  <c r="J15" i="6" s="1"/>
  <c r="I23" i="6"/>
  <c r="J23" i="6" s="1"/>
  <c r="I31" i="6"/>
  <c r="J31" i="6" s="1"/>
  <c r="I39" i="6"/>
  <c r="J39" i="6" s="1"/>
  <c r="I58" i="6"/>
  <c r="J58" i="6" s="1"/>
  <c r="I74" i="6"/>
  <c r="J74" i="6" s="1"/>
  <c r="I90" i="6"/>
  <c r="J90" i="6" s="1"/>
  <c r="C24" i="4"/>
  <c r="C10" i="2"/>
  <c r="C26" i="2"/>
  <c r="C42" i="2"/>
  <c r="C14" i="4"/>
  <c r="C12" i="5"/>
  <c r="C28" i="5"/>
  <c r="C38" i="5"/>
  <c r="C54" i="5"/>
  <c r="C70" i="5"/>
  <c r="C86" i="5"/>
  <c r="C102" i="5"/>
  <c r="C128" i="5"/>
  <c r="C134" i="5"/>
  <c r="B68" i="7" s="1"/>
  <c r="I6" i="6"/>
  <c r="J6" i="6" s="1"/>
  <c r="I14" i="6"/>
  <c r="J14" i="6" s="1"/>
  <c r="I22" i="6"/>
  <c r="J22" i="6" s="1"/>
  <c r="I30" i="6"/>
  <c r="J30" i="6" s="1"/>
  <c r="I38" i="6"/>
  <c r="J38" i="6" s="1"/>
  <c r="I46" i="6"/>
  <c r="J46" i="6" s="1"/>
  <c r="I62" i="6"/>
  <c r="J62" i="6" s="1"/>
  <c r="I78" i="6"/>
  <c r="J78" i="6" s="1"/>
  <c r="C10" i="5"/>
  <c r="C22" i="5"/>
  <c r="C48" i="5"/>
  <c r="C64" i="5"/>
  <c r="C80" i="5"/>
  <c r="C96" i="5"/>
  <c r="C112" i="5"/>
  <c r="C126" i="5"/>
  <c r="C132" i="5"/>
  <c r="I11" i="6"/>
  <c r="J11" i="6" s="1"/>
  <c r="I19" i="6"/>
  <c r="J19" i="6" s="1"/>
  <c r="I27" i="6"/>
  <c r="J27" i="6" s="1"/>
  <c r="I35" i="6"/>
  <c r="J35" i="6" s="1"/>
  <c r="I43" i="6"/>
  <c r="J43" i="6" s="1"/>
  <c r="I50" i="6"/>
  <c r="J50" i="6" s="1"/>
  <c r="I66" i="6"/>
  <c r="J66" i="6" s="1"/>
  <c r="I82" i="6"/>
  <c r="J82" i="6" s="1"/>
  <c r="C8" i="4"/>
  <c r="C18" i="2"/>
  <c r="C34" i="2"/>
  <c r="C6" i="4"/>
  <c r="C30" i="4"/>
  <c r="C4" i="5"/>
  <c r="C20" i="5"/>
  <c r="C46" i="5"/>
  <c r="C62" i="5"/>
  <c r="C78" i="5"/>
  <c r="C94" i="5"/>
  <c r="C110" i="5"/>
  <c r="C120" i="5"/>
  <c r="I10" i="6"/>
  <c r="J10" i="6" s="1"/>
  <c r="I18" i="6"/>
  <c r="J18" i="6" s="1"/>
  <c r="I26" i="6"/>
  <c r="J26" i="6" s="1"/>
  <c r="I34" i="6"/>
  <c r="J34" i="6" s="1"/>
  <c r="I42" i="6"/>
  <c r="J42" i="6" s="1"/>
  <c r="I54" i="6"/>
  <c r="J54" i="6" s="1"/>
  <c r="I70" i="6"/>
  <c r="J70" i="6" s="1"/>
  <c r="C16" i="7"/>
  <c r="J38" i="7"/>
  <c r="K38" i="7" s="1"/>
  <c r="M38" i="7" s="1"/>
  <c r="L38" i="7"/>
  <c r="I41" i="7"/>
  <c r="I40" i="7"/>
  <c r="J39" i="7"/>
  <c r="K39" i="7" s="1"/>
  <c r="M39" i="7" s="1"/>
  <c r="C42" i="3"/>
  <c r="C34" i="3"/>
  <c r="B70" i="7" s="1"/>
  <c r="C26" i="3"/>
  <c r="C18" i="3"/>
  <c r="C10" i="3"/>
  <c r="C36" i="3"/>
  <c r="C28" i="3"/>
  <c r="B66" i="7" s="1"/>
  <c r="C20" i="3"/>
  <c r="C21" i="3" s="1"/>
  <c r="C12" i="3"/>
  <c r="C4" i="3"/>
  <c r="C16" i="3"/>
  <c r="C24" i="3"/>
  <c r="B65" i="7" s="1"/>
  <c r="C40" i="3"/>
  <c r="C14" i="3"/>
  <c r="B64" i="7" s="1"/>
  <c r="C38" i="3"/>
  <c r="L1" i="4"/>
  <c r="C42" i="7" s="1"/>
  <c r="I42" i="7" s="1"/>
  <c r="C22" i="4"/>
  <c r="C8" i="3"/>
  <c r="C22" i="3"/>
  <c r="C23" i="3" s="1"/>
  <c r="C32" i="3"/>
  <c r="C34" i="4"/>
  <c r="C26" i="4"/>
  <c r="C18" i="4"/>
  <c r="C10" i="4"/>
  <c r="C36" i="4"/>
  <c r="C28" i="4"/>
  <c r="C20" i="4"/>
  <c r="C12" i="4"/>
  <c r="C4" i="4"/>
  <c r="C16" i="4"/>
  <c r="C32" i="4"/>
  <c r="C6" i="2"/>
  <c r="C14" i="2"/>
  <c r="C22" i="2"/>
  <c r="C30" i="2"/>
  <c r="C38" i="2"/>
  <c r="C8" i="5"/>
  <c r="C16" i="5"/>
  <c r="C26" i="5"/>
  <c r="C34" i="5"/>
  <c r="C35" i="5" s="1"/>
  <c r="C36" i="5"/>
  <c r="C44" i="5"/>
  <c r="C52" i="5"/>
  <c r="C60" i="5"/>
  <c r="C68" i="5"/>
  <c r="C76" i="5"/>
  <c r="C84" i="5"/>
  <c r="C92" i="5"/>
  <c r="C100" i="5"/>
  <c r="C108" i="5"/>
  <c r="C118" i="5"/>
  <c r="I93" i="6"/>
  <c r="J93" i="6" s="1"/>
  <c r="I91" i="6"/>
  <c r="J91" i="6" s="1"/>
  <c r="I89" i="6"/>
  <c r="J89" i="6" s="1"/>
  <c r="I87" i="6"/>
  <c r="J87" i="6" s="1"/>
  <c r="I85" i="6"/>
  <c r="J85" i="6" s="1"/>
  <c r="I83" i="6"/>
  <c r="J83" i="6" s="1"/>
  <c r="I81" i="6"/>
  <c r="J81" i="6" s="1"/>
  <c r="I79" i="6"/>
  <c r="J79" i="6" s="1"/>
  <c r="I77" i="6"/>
  <c r="J77" i="6" s="1"/>
  <c r="I75" i="6"/>
  <c r="J75" i="6" s="1"/>
  <c r="I73" i="6"/>
  <c r="J73" i="6" s="1"/>
  <c r="I71" i="6"/>
  <c r="J71" i="6" s="1"/>
  <c r="I69" i="6"/>
  <c r="J69" i="6" s="1"/>
  <c r="I67" i="6"/>
  <c r="J67" i="6" s="1"/>
  <c r="I65" i="6"/>
  <c r="J65" i="6" s="1"/>
  <c r="I63" i="6"/>
  <c r="J63" i="6" s="1"/>
  <c r="I61" i="6"/>
  <c r="J61" i="6" s="1"/>
  <c r="I59" i="6"/>
  <c r="J59" i="6" s="1"/>
  <c r="I57" i="6"/>
  <c r="J57" i="6" s="1"/>
  <c r="I55" i="6"/>
  <c r="J55" i="6" s="1"/>
  <c r="I53" i="6"/>
  <c r="J53" i="6" s="1"/>
  <c r="I51" i="6"/>
  <c r="J51" i="6" s="1"/>
  <c r="I49" i="6"/>
  <c r="J49" i="6" s="1"/>
  <c r="I47" i="6"/>
  <c r="J47" i="6" s="1"/>
  <c r="I45" i="6"/>
  <c r="J45" i="6" s="1"/>
  <c r="I5" i="6"/>
  <c r="J5" i="6" s="1"/>
  <c r="I9" i="6"/>
  <c r="J9" i="6" s="1"/>
  <c r="I13" i="6"/>
  <c r="J13" i="6" s="1"/>
  <c r="I17" i="6"/>
  <c r="J17" i="6" s="1"/>
  <c r="I21" i="6"/>
  <c r="J21" i="6" s="1"/>
  <c r="I25" i="6"/>
  <c r="J25" i="6" s="1"/>
  <c r="I29" i="6"/>
  <c r="J29" i="6" s="1"/>
  <c r="I33" i="6"/>
  <c r="J33" i="6" s="1"/>
  <c r="I37" i="6"/>
  <c r="J37" i="6" s="1"/>
  <c r="I41" i="6"/>
  <c r="J41" i="6" s="1"/>
  <c r="C4" i="2"/>
  <c r="C12" i="2"/>
  <c r="C20" i="2"/>
  <c r="C28" i="2"/>
  <c r="C36" i="2"/>
  <c r="C138" i="5"/>
  <c r="B69" i="7" s="1"/>
  <c r="C130" i="5"/>
  <c r="C122" i="5"/>
  <c r="C6" i="5"/>
  <c r="C14" i="5"/>
  <c r="C24" i="5"/>
  <c r="C32" i="5"/>
  <c r="C42" i="5"/>
  <c r="C50" i="5"/>
  <c r="C58" i="5"/>
  <c r="C66" i="5"/>
  <c r="C74" i="5"/>
  <c r="C82" i="5"/>
  <c r="C90" i="5"/>
  <c r="C98" i="5"/>
  <c r="C106" i="5"/>
  <c r="C114" i="5"/>
  <c r="C115" i="5" s="1"/>
  <c r="C116" i="5"/>
  <c r="C136" i="5"/>
  <c r="I4" i="6"/>
  <c r="J4" i="6" s="1"/>
  <c r="I8" i="6"/>
  <c r="J8" i="6" s="1"/>
  <c r="I12" i="6"/>
  <c r="J12" i="6" s="1"/>
  <c r="I16" i="6"/>
  <c r="J16" i="6" s="1"/>
  <c r="I20" i="6"/>
  <c r="J20" i="6" s="1"/>
  <c r="I24" i="6"/>
  <c r="J24" i="6" s="1"/>
  <c r="I28" i="6"/>
  <c r="J28" i="6" s="1"/>
  <c r="I32" i="6"/>
  <c r="J32" i="6" s="1"/>
  <c r="I36" i="6"/>
  <c r="J36" i="6" s="1"/>
  <c r="I40" i="6"/>
  <c r="J40" i="6" s="1"/>
  <c r="I44" i="6"/>
  <c r="J44" i="6" s="1"/>
  <c r="I48" i="6"/>
  <c r="J48" i="6" s="1"/>
  <c r="I52" i="6"/>
  <c r="J52" i="6" s="1"/>
  <c r="I56" i="6"/>
  <c r="J56" i="6" s="1"/>
  <c r="I60" i="6"/>
  <c r="J60" i="6" s="1"/>
  <c r="I64" i="6"/>
  <c r="J64" i="6" s="1"/>
  <c r="I68" i="6"/>
  <c r="J68" i="6" s="1"/>
  <c r="I72" i="6"/>
  <c r="J72" i="6" s="1"/>
  <c r="I76" i="6"/>
  <c r="J76" i="6" s="1"/>
  <c r="I80" i="6"/>
  <c r="J80" i="6" s="1"/>
  <c r="I84" i="6"/>
  <c r="J84" i="6" s="1"/>
  <c r="I88" i="6"/>
  <c r="J88" i="6" s="1"/>
  <c r="I92" i="6"/>
  <c r="J92" i="6" s="1"/>
  <c r="G39" i="7" l="1"/>
  <c r="G41" i="7"/>
  <c r="J2" i="6"/>
  <c r="D41" i="7" s="1"/>
  <c r="G38" i="7"/>
  <c r="C1" i="2"/>
  <c r="D38" i="7" s="1"/>
  <c r="F38" i="7" s="1"/>
  <c r="M42" i="7"/>
  <c r="C1" i="5"/>
  <c r="D39" i="7" s="1"/>
  <c r="J42" i="7"/>
  <c r="K42" i="7" s="1"/>
  <c r="L42" i="7" s="1"/>
  <c r="L40" i="7"/>
  <c r="G42" i="7"/>
  <c r="C1" i="4"/>
  <c r="D42" i="7" s="1"/>
  <c r="G40" i="7"/>
  <c r="C1" i="3"/>
  <c r="D40" i="7" s="1"/>
  <c r="J40" i="7"/>
  <c r="K40" i="7" s="1"/>
  <c r="M40" i="7" s="1"/>
  <c r="L39" i="7"/>
  <c r="M41" i="7"/>
  <c r="J41" i="7"/>
  <c r="K41" i="7" s="1"/>
  <c r="L41" i="7" s="1"/>
  <c r="F42" i="7" l="1"/>
  <c r="F39" i="7"/>
  <c r="F40" i="7"/>
  <c r="F41" i="7"/>
  <c r="A60" i="7" l="1"/>
  <c r="B60" i="7" s="1"/>
  <c r="A61" i="7"/>
  <c r="B61" i="7" s="1"/>
  <c r="F61" i="7" l="1"/>
</calcChain>
</file>

<file path=xl/sharedStrings.xml><?xml version="1.0" encoding="utf-8"?>
<sst xmlns="http://schemas.openxmlformats.org/spreadsheetml/2006/main" count="2488" uniqueCount="601">
  <si>
    <t>ID</t>
  </si>
  <si>
    <t>Marca temporal</t>
  </si>
  <si>
    <t>1. NOMBRE:</t>
  </si>
  <si>
    <t>2. FECHA DE NACIMIENTO</t>
  </si>
  <si>
    <t>3. Departamento en el que labora:</t>
  </si>
  <si>
    <t>4. Puesto:</t>
  </si>
  <si>
    <t>5. Estado Civil:</t>
  </si>
  <si>
    <t>6. Sexo:</t>
  </si>
  <si>
    <t>7. Estudios realizados:</t>
  </si>
  <si>
    <t>8. ¿Cuál es su categoría dentro de la empresa?</t>
  </si>
  <si>
    <t>9. ¿Antigüedad en el puesto?</t>
  </si>
  <si>
    <t>10. ¿Cuánto tiempo hace que labora en el mismo lugar de trabajo (edificio, local o planta)?</t>
  </si>
  <si>
    <t>11. Seleccione los días de la semana en trabaja usted</t>
  </si>
  <si>
    <t>12. ¿Cuántas horas trabaja al día?</t>
  </si>
  <si>
    <t>13. ¿Qué medio de transporte utiliza para llegar a su trabajo?</t>
  </si>
  <si>
    <t>14. En caso de tener vehículo propio, ¿Cuántos tiene?</t>
  </si>
  <si>
    <t>15. En caso de contar con vehículo propio, ¿Cuánto gasta en gasolina a la semana?</t>
  </si>
  <si>
    <t>16. ¿Cuánto tiempo hace de traslado a su trabajo?</t>
  </si>
  <si>
    <t>17. En caso de usar transporte publico (taxi, Uber, camión) para llegar a su centro de trabajo, ¿Cuánto gasta diariamente?</t>
  </si>
  <si>
    <t>18. ¿La casa o departamento en el que habita es?</t>
  </si>
  <si>
    <t>19. ¿Cuántas veces a la semana consume los siguientes alimentos? [Frutas y verduras]</t>
  </si>
  <si>
    <t>19. ¿Cuántas veces a la semana consume los siguientes alimentos? [Carnes Rojas y Lácteos]</t>
  </si>
  <si>
    <t>19. ¿Cuántas veces a la semana consume los siguientes alimentos? [Cereales (Tortilla, Arroz, Quinoa, Papa)]</t>
  </si>
  <si>
    <t>19. ¿Cuántas veces a la semana consume los siguientes alimentos? [Semillas (Cacahuate, Almendras, Pistache)]</t>
  </si>
  <si>
    <t>20. ¿Tiene la posibilidad de acceder a una alimentación sana, variada e higiénica?</t>
  </si>
  <si>
    <t>21. ¿Cuántas veces sale de vacaciones al año?</t>
  </si>
  <si>
    <t>22. En caso de tener hijos, la Educación que reciben es:</t>
  </si>
  <si>
    <t>23. ¿En qué posición realizas la mayoría de tus actividades laborales?</t>
  </si>
  <si>
    <t>24. ¿Su lugar de trabajo cuenta con ventilación?</t>
  </si>
  <si>
    <t>25. Seleccione el tipo de ventilación con la que cuenta su lugar de trabajo.</t>
  </si>
  <si>
    <t>26. La temperatura de su lugar de trabajo es:</t>
  </si>
  <si>
    <t>27. ¿Qué le produce la temperatura de su lugar de trabajo?</t>
  </si>
  <si>
    <t>28. En su lugar de trabajo se perciben olores de:</t>
  </si>
  <si>
    <t>29. ¿Cómo es la iluminación en su lugar de trabajo?</t>
  </si>
  <si>
    <t>30. De las siguientes opciones, ¿Qué le incomoda en su lugar de trabajo?</t>
  </si>
  <si>
    <t>31. ¿En su lugar de trabajo existe ruido?</t>
  </si>
  <si>
    <t>32. El nivel de ruido en su puesto de trabajo es:</t>
  </si>
  <si>
    <t>33. El ruido en su lugar de trabajo procede de:</t>
  </si>
  <si>
    <t>34. Aproximadamente ¿Cuánto tiempo está expuesto al ruido en su área de trabajo?</t>
  </si>
  <si>
    <t>35. ¿Conoce cuál es el nivel sonoro en decibeles en su área de trabajo?</t>
  </si>
  <si>
    <t>36. ¿Existen vibraciones producidas por herramientas manuales, máquinas, vehículos, etc. en su puesto de trabajo?</t>
  </si>
  <si>
    <t>37. ¿Estás expuesto a radiaciones ionizantes o no ionizantes en tu jornada laboral?</t>
  </si>
  <si>
    <t>38. Indique el tipo de radiación ionizante y no ionizante, al que está usted expuesto:</t>
  </si>
  <si>
    <t>39. ¿En su área de trabajo existe algún tipo de radiación ionizante?</t>
  </si>
  <si>
    <t>40. ¿Cuenta usted con equipo de protección personal para radiación ionizante?</t>
  </si>
  <si>
    <t>41. En caso de ser afirmativa la respuesta anterior, ¿Con qué tipo de equipo de protección personal cuenta?</t>
  </si>
  <si>
    <t>42. ¿Desarrolla usted trabajos en alturas mayores a 1.80 metros?</t>
  </si>
  <si>
    <t>43. En caso de ser afirmativa la respuesta anterior, ¿Con que tipo de equipo de protección personal cuenta?</t>
  </si>
  <si>
    <t>44. ¿Qué riesgos asociados al trabajo en alturas conoce?</t>
  </si>
  <si>
    <t>45. ¿Desarrolla usted trabajos con soldadura?</t>
  </si>
  <si>
    <t>46. ¿Utiliza ropa adecuada y Equipo de protección especial para la soldadura?</t>
  </si>
  <si>
    <t>47. Conoce los riesgos y medidas preventivas en los trabajos de soldaduras contaminantes, químicos en soldadura y tipo de contaminante químico que utiliza en su área laboral.</t>
  </si>
  <si>
    <t>48. Conoce los riesgos de soldaduras, caídas en distintos niveles, pisadas sobre objetos, cortes, proyección de fragmentos y contactos eléctricos.</t>
  </si>
  <si>
    <t>49. ¿Qué tipos de riesgos de trabajo en actividades de soldadura conoce?</t>
  </si>
  <si>
    <t>50. ¿Conoce las medidas de primeros auxilios básicos para quemaduras?</t>
  </si>
  <si>
    <t>51. Su área de trabajo ¿Cuenta con botiquín de primeros auxilios?</t>
  </si>
  <si>
    <t>52. Su área de trabajo ¿Cuenta con extintores?</t>
  </si>
  <si>
    <t>53. Su área de trabajo ¿Cuenta con señaléticas de prevención de accidentes?</t>
  </si>
  <si>
    <t>54. Independientemente de la labor que realice, su área de trabajo ¿Cuenta con Equipo de Protección Personal (EPP)?</t>
  </si>
  <si>
    <t>55. En su área laboral ¿Cuenta con la capacitación suficiente para el manejo de herramientas y uso de máquinas según el tipo de área de producción y procesamiento?</t>
  </si>
  <si>
    <t>56. En su trabajo ¿Se encuentra expuesto a temperaturas elevadas? (trabajos cerca de hornos, fogones, etc.)</t>
  </si>
  <si>
    <t>57. En su trabajo ¿Se encuentra expuesto a temperaturas abatidas? (trabajos en cuartos fríos o de refrigeración)</t>
  </si>
  <si>
    <t>58. En su puesto de trabajo, ¿Manipula sustancias o preparados nocivos o tóxicos?</t>
  </si>
  <si>
    <t>59. En caso de ser afirmativa la respuesta anterior, indique que tipo de producto químico utiliza o está expuesto:</t>
  </si>
  <si>
    <t>60. Estas sustancias o preparados, ¿Tienen alguna etiqueta o leyenda que informe de su peligrosidad?</t>
  </si>
  <si>
    <t>61. En general, la información que contiene la etiqueta (símbolos, etc.) es..</t>
  </si>
  <si>
    <t>62. En su puesto de trabajo, ¿Respira polvos, humos, aerosoles, gases o vapores nocivos o tóxicos? (excluido el humo del tabaco)</t>
  </si>
  <si>
    <t>63. En su trabajo, ¿Maneja o tiene contacto directo con materiales que pueden ser infecciosos, tales coma desechos, fluidos corporales, materiales de laboratorio, animales?</t>
  </si>
  <si>
    <t>64. ¿Conoce usted los posibles efectos perjudiciales para su salud de la manipulación y/o respiración de esas sustancias nocivas o tóxicas?</t>
  </si>
  <si>
    <t>65. ¿Le han informado en su empresa de las medidas a adoptar para prevenir estos posibles efectos perjudiciales?</t>
  </si>
  <si>
    <t>66. En general, el nivel de atención que debe mantener para realizar su trabajo es:</t>
  </si>
  <si>
    <t>67. En los últimos 3 meses, la cantidad de trabajo que ha tenido generalmente es:</t>
  </si>
  <si>
    <t>68. El ritmo de trabajo esta determinado por:</t>
  </si>
  <si>
    <t>69. El ritmo de trabajo es:</t>
  </si>
  <si>
    <t>70. Cuando en su puesto de trabajo se comete algún error, ¿Qué sucede?</t>
  </si>
  <si>
    <t>71. Le parece adecuado su horario de trabajo?</t>
  </si>
  <si>
    <t>72. ¿Considera que tiene que realizar tareas que no le corresponden?</t>
  </si>
  <si>
    <t>73. ¿Hasta que punto puede tomar decisiones en su trabajo?</t>
  </si>
  <si>
    <t>74. ¿Cómo considera que son las relaciones con las personas con las que debe trabajar? [JEFES]</t>
  </si>
  <si>
    <t>74. ¿Cómo considera que son las relaciones con las personas con las que debe trabajar? [COMPAÑEROS]</t>
  </si>
  <si>
    <t>74. ¿Cómo considera que son las relaciones con las personas con las que debe trabajar? [SUBORDINADOS]</t>
  </si>
  <si>
    <t>75. ¿Existe algún obstáculo que dificulte la comunicación con sus compañeros?</t>
  </si>
  <si>
    <t>76. En caso de ser afirmativa la respuesta anterior, ¿Cuál de los siguientes aspectos dificulta esta comunicación? (Si es necesario marque mas de una respuesta)</t>
  </si>
  <si>
    <t>77. ¿Ha asistido a cursos de capacitación o formación complementaria para el desempeño de su trabajo?</t>
  </si>
  <si>
    <t>78. En caso de ser afirmativa la respuesta anterior, a ¿Cuántos cursos ha asistido?</t>
  </si>
  <si>
    <t>79. ¿Le parece suficiente la formación que le ha proporcionado la empresa en la que actualmente labora, para el desempeño de su trabajo?</t>
  </si>
  <si>
    <t>80. ¿Conoce si hay algún procedimiento establecido para la promoción del personal?</t>
  </si>
  <si>
    <t>81. ¿Qué tipo de contrato de trabajo tiene celebrado con la empresa en la que actualmente labora?</t>
  </si>
  <si>
    <t>82. ¿Cómo cree que esta considerado su puesto de trabajo en la empresa?</t>
  </si>
  <si>
    <t>83. ¿Qué tipo de preparación necesita para desempeñar su puesto de trabajo?</t>
  </si>
  <si>
    <t>84. Además de su formación académica, ¿Para desarrollar su trabajo se requiere de aptitudes?</t>
  </si>
  <si>
    <t>85. Usted fuma o fumaba?</t>
  </si>
  <si>
    <t>86. Si la respuesta anterior fue "Si" podría especificar la cantidad de cigarros al día y los años que lleva fumando o que fumo?</t>
  </si>
  <si>
    <t>87. Si no es usted fumador, ¿Considera que el humo de tabaco de los demás perjudica su salud?</t>
  </si>
  <si>
    <t>88. En caso de ser afirmativa la respuesta anterior, ¿Con qué frecuencia esta expuesto al humo de tabaco?</t>
  </si>
  <si>
    <t>89. Consume o consumía alcohol?</t>
  </si>
  <si>
    <t>90. Si la respuesta anterior fue "Si" pudieras especificar el tipo de alcohol (cerveza, tequila, etc.), la cantidad de consumo por semana (latas, vasos, botella) y el número de años que has consumido alcohol?</t>
  </si>
  <si>
    <t>91. Realiza actividad física?</t>
  </si>
  <si>
    <t>92. Con que frecuencia realiza actividad física a la semana (Tomando en cuenta que mínimo son 30 min al día)</t>
  </si>
  <si>
    <t>93. Seleccione si en su familia ha habido casos de:</t>
  </si>
  <si>
    <t>94. ¿Tiene usted alguno de los siguientes padecimientos heredofamiliares o crónicos degenerativos?</t>
  </si>
  <si>
    <t>95. Si la respuesta anterior fue "Otros" favor de especificar la enfermedad que padece:</t>
  </si>
  <si>
    <t>96. Si padece alguno o algunos de las padecimientos señalados en la pregunta anterior, ¿lleva algún tratamiento de control?</t>
  </si>
  <si>
    <t>97. Favor de especificar el nombre del medicamento (os) o suplementos que consume:</t>
  </si>
  <si>
    <t>98. Alergias: Si o No y favor de especificar a que es alérgico.</t>
  </si>
  <si>
    <t>99. ¿Alguna vez ha sufrido un accidente de trabajo?</t>
  </si>
  <si>
    <t>100. En caso de ser afirmativa la respuesta anterior, mencione ¿Cuál?</t>
  </si>
  <si>
    <t>101. En su historial de trabajo, ¿ha tenido alguna incapacidad?</t>
  </si>
  <si>
    <t>102. En caso de ser afirmativa la respuesta anterior, mencione de qué tipo:</t>
  </si>
  <si>
    <t>103. ¿Consume mariguana, heroína, LSD, cocaína barbitúricos, anfetaminas o cualquier otro tipo de drogas psicoactivas?</t>
  </si>
  <si>
    <t>104. Tipo de droga:</t>
  </si>
  <si>
    <t>105. Frecuencia:</t>
  </si>
  <si>
    <t>106. Selecciona la última ocasión que consumiste</t>
  </si>
  <si>
    <t>107. ¿Ha recibido tratamiento con relación al consumo de drogas psicoactivas?</t>
  </si>
  <si>
    <t>108. ¿Pertenece o ha pertenecido a instituciones para su rehabilitación?</t>
  </si>
  <si>
    <t>109. Las preguntas que a continuación se presentan, se refieren a síntomas que usted puede experimentar en su trabajo, por favor señale cuales son aquellos síntomas que se relacionen con usted y con que frecuencia lo presenta: 
Síntomas oculares [Sequedad ocular ]</t>
  </si>
  <si>
    <t>109. Las preguntas que a continuación se presentan, se refieren a síntomas que usted puede experimentar en su trabajo, por favor señale cuales son aquellos síntomas que se relacionen con usted y con que frecuencia lo presenta: 
Síntomas oculares [Lagrimeo]</t>
  </si>
  <si>
    <t>109. Las preguntas que a continuación se presentan, se refieren a síntomas que usted puede experimentar en su trabajo, por favor señale cuales son aquellos síntomas que se relacionen con usted y con que frecuencia lo presenta: 
Síntomas oculares [Enrojecimiento o comezón ocular]</t>
  </si>
  <si>
    <t>109. Las preguntas que a continuación se presentan, se refieren a síntomas que usted puede experimentar en su trabajo, por favor señale cuales son aquellos síntomas que se relacionen con usted y con que frecuencia lo presenta: 
Síntomas oculares [Dolor ocular ]</t>
  </si>
  <si>
    <t>109. Las preguntas que a continuación se presentan, se refieren a síntomas que usted puede experimentar en su trabajo, por favor señale cuales son aquellos síntomas que se relacionen con usted y con que frecuencia lo presenta: 
Síntomas oculares [Hinchazón ocular ]</t>
  </si>
  <si>
    <t>109. Las preguntas que a continuación se presentan, se refieren a síntomas que usted puede experimentar en su trabajo, por favor señale cuales son aquellos síntomas que se relacionen con usted y con que frecuencia lo presenta: 
Síntomas oculares [Visión Borrosa]</t>
  </si>
  <si>
    <t>110. Las preguntas que a continuación se presentan, se refieren a síntomas que usted puede experimentar en su trabajo, por favor señale cuales son aquellos síntomas que se relacionen con usted y con que frecuencia lo presenta: 
Síntomas nasales [Estornudos frecuentes ]</t>
  </si>
  <si>
    <t>110. Las preguntas que a continuación se presentan, se refieren a síntomas que usted puede experimentar en su trabajo, por favor señale cuales son aquellos síntomas que se relacionen con usted y con que frecuencia lo presenta: 
Síntomas nasales [Sequedad nasal ]</t>
  </si>
  <si>
    <t>110. Las preguntas que a continuación se presentan, se refieren a síntomas que usted puede experimentar en su trabajo, por favor señale cuales son aquellos síntomas que se relacionen con usted y con que frecuencia lo presenta: 
Síntomas nasales [Congestión nasal ]</t>
  </si>
  <si>
    <t>110. Las preguntas que a continuación se presentan, se refieren a síntomas que usted puede experimentar en su trabajo, por favor señale cuales son aquellos síntomas que se relacionen con usted y con que frecuencia lo presenta: 
Síntomas nasales [Rinorrea (goteo o liquido nasal)]</t>
  </si>
  <si>
    <t>110. Las preguntas que a continuación se presentan, se refieren a síntomas que usted puede experimentar en su trabajo, por favor señale cuales son aquellos síntomas que se relacionen con usted y con que frecuencia lo presenta: 
Síntomas nasales [Pérdida del olfato ]</t>
  </si>
  <si>
    <t>110. Las preguntas que a continuación se presentan, se refieren a síntomas que usted puede experimentar en su trabajo, por favor señale cuales son aquellos síntomas que se relacionen con usted y con que frecuencia lo presenta: 
Síntomas nasales [Hemorragia nasal ]</t>
  </si>
  <si>
    <t>111. Síntomas de garganta [Resequedad ]</t>
  </si>
  <si>
    <t>111. Síntomas de garganta [Ronquera]</t>
  </si>
  <si>
    <t>111. Síntomas de garganta [Irritación ]</t>
  </si>
  <si>
    <t>111. Síntomas de garganta [Dolor de garganta ]</t>
  </si>
  <si>
    <t>111. Síntomas de garganta [Sensación de cuerpo extraño ]</t>
  </si>
  <si>
    <t>111. Síntomas de garganta [Dificultad o dolor al tragar ]</t>
  </si>
  <si>
    <t>112. Síntomas bucales [Halitosis o mal aliento ]</t>
  </si>
  <si>
    <t>112. Síntomas bucales [Sequedad bucal ]</t>
  </si>
  <si>
    <t>112. Síntomas bucales [Sangrado de encías ]</t>
  </si>
  <si>
    <t>112. Síntomas bucales [Ulceras bucales ]</t>
  </si>
  <si>
    <t>112. Síntomas bucales [Lesiones o placas blanquecinas ]</t>
  </si>
  <si>
    <t>113. Síntomas cutáneos [Sequedad en la piel ]</t>
  </si>
  <si>
    <t>113. Síntomas cutáneos [Comezón en la piel ]</t>
  </si>
  <si>
    <t>113. Síntomas cutáneos [Enrojecimiento]</t>
  </si>
  <si>
    <t>113. Síntomas cutáneos [Ampollas o vesículas ]</t>
  </si>
  <si>
    <t>113. Síntomas cutáneos [Ulceras o necrosis]</t>
  </si>
  <si>
    <t>114. Síntomas digestivos [Nauseas ]</t>
  </si>
  <si>
    <t>114. Síntomas digestivos [Pérdida del apetito]</t>
  </si>
  <si>
    <t>114. Síntomas digestivos [Estreñimiento]</t>
  </si>
  <si>
    <t>114. Síntomas digestivos [Diarrea o vomito ]</t>
  </si>
  <si>
    <t>114. Síntomas digestivos [Dolor abdominal ]</t>
  </si>
  <si>
    <t>114. Síntomas digestivos [Heces o vomito con sangre ]</t>
  </si>
  <si>
    <t>115. Síntomas parecidos a la gripe [Cansancio o fatiga]</t>
  </si>
  <si>
    <t>115. Síntomas parecidos a la gripe [Congestion nasal ]</t>
  </si>
  <si>
    <t>115. Síntomas parecidos a la gripe [Dolor de cabeza ]</t>
  </si>
  <si>
    <t>115. Síntomas parecidos a la gripe [Tos ]</t>
  </si>
  <si>
    <t>115. Síntomas parecidos a la gripe [Fiebre ]</t>
  </si>
  <si>
    <t>115. Síntomas parecidos a la gripe [Dificultad para respirar ]</t>
  </si>
  <si>
    <t>SINTOMAS DOLOROSOS
116. A) indique si tiene molestia o dolor, su frecuencia, si le ha impedido realizar su trabajo actual, y si esa molestia o dolor se han producido coma consecuencia de las tareas que realiza en su puesto de trabajo. [Tiene dolor en esta zona ? Cuello, hombros.]</t>
  </si>
  <si>
    <t>117. ¿Con qué frecuencia?</t>
  </si>
  <si>
    <t>118. Esta molestia ¿le ha impedido realizar su trabajo?</t>
  </si>
  <si>
    <t>119. ¿Con qué frecuencia?</t>
  </si>
  <si>
    <t>120. Esta molestia ¿es consecuencia de las tareas del puesto que ocupa?</t>
  </si>
  <si>
    <t>121. Tiene dolor en alguna de estas zonas?</t>
  </si>
  <si>
    <t>122. ¿Con qué frecuencia?</t>
  </si>
  <si>
    <t>123. Esta molestia ¿le ha impedido realizar su trabajo?</t>
  </si>
  <si>
    <t>124. ¿Con que frecuencia?</t>
  </si>
  <si>
    <t>125. Esta molestia ¿es consecuencia de las tareas del puesto que ocupa?</t>
  </si>
  <si>
    <t>126. Dolor de codos manos y/o muñecas.</t>
  </si>
  <si>
    <t>127. ¿Con que frecuencia?</t>
  </si>
  <si>
    <t>128. Esta molestia ¿le ha impedido realizar su trabajo?</t>
  </si>
  <si>
    <t>129. Con que frecuencia?</t>
  </si>
  <si>
    <t>130. Esta molestia ¿es consecuencia de las tareas del puesto que ocupa?</t>
  </si>
  <si>
    <t>131. Dolor de piernas y pies.</t>
  </si>
  <si>
    <t>132. ¿Con qué frecuencia?</t>
  </si>
  <si>
    <t>133. Esta molestia ¿le ha impedido realizar su trabajo?</t>
  </si>
  <si>
    <t>134. ¿Con qué frecuencia?</t>
  </si>
  <si>
    <t>135. Esta molestia ¿es consecuencia de las tareas del puesto que ocupa?</t>
  </si>
  <si>
    <t>136. En su trabajo, ¿Cuánto tiempo tiene que adoptar o realizar estas posturas? 
SENTADO</t>
  </si>
  <si>
    <t>137. De pie</t>
  </si>
  <si>
    <t>138. Caminando</t>
  </si>
  <si>
    <t>139. Caminando mientras subo o bajo niveles diferentes (peldaños, escalera, rampa, etc.)</t>
  </si>
  <si>
    <t>140. En postura de rodillas/en cuclillas.</t>
  </si>
  <si>
    <t>141. Tumbado sobre la espalda o
sobre un lado.</t>
  </si>
  <si>
    <t>142. En su trabajo, durante cuanto tiempo tiene que adoptar o realizar estas posturas
de cuello/cabeza y ¿con que frecuencia?</t>
  </si>
  <si>
    <t>143. Inclinar el cuello/cabeza</t>
  </si>
  <si>
    <t>144. Inclinar el cuello/cabeza hacia un lado o ambos</t>
  </si>
  <si>
    <t>145. En su trabajo, durante cuanto tiempo tiene que adoptar o realizar estas posturas
de espalda/tronco y ¿con que frecuencia?</t>
  </si>
  <si>
    <t>146. Inclinar la espalda/tronco hacia atrás</t>
  </si>
  <si>
    <t>147. Inclinar la espalda/tronco hacia un lado o ambos</t>
  </si>
  <si>
    <t>148. Girar la espalda/tronco.</t>
  </si>
  <si>
    <t>149. En su trabajo, durante cuanto tiempo tiene que adoptar o realizar estas posturas de hombros, muñecas y tobillos/pies, y ¿con que frecuencia?
Las manos por encima de la cabeza o los codos por encima de los hombros.</t>
  </si>
  <si>
    <t>150. Ejerciendo presión con uno de los pies</t>
  </si>
  <si>
    <t>151. En su trabajo, durante ¿Cuánto tiempo tiene que adoptar o realizar estas acciones con las manos?
Sostener, presionar o levantar objetos o herramientas con los dedos en forma de pinza.</t>
  </si>
  <si>
    <t>152. Agarrar o sujetar con fuerza objetos o herramientas con las manos</t>
  </si>
  <si>
    <t>153. Utilizar de manera intensiva los dedos, (ordenador, controles, botoneras, mando, calculadora, caja registradora, etc.)</t>
  </si>
  <si>
    <t>154. En su trabajo, ¿durante cuanto tiempo tiene que trabajar realizando estas acciones relacionadas con la exposición a vibraciones y/o impactos?</t>
  </si>
  <si>
    <t>155. Trabajar sobre superficies vibrantes (asiento de vehículo, plataforma o suelo vibrante, etc.)</t>
  </si>
  <si>
    <t>156. Utilizar herramientas y máquinas de impacto o
vibrantes (taladro, remachadora, amoladora, martillo, grapadora neumática, etc.)</t>
  </si>
  <si>
    <t>157. Utilizar la mano (el pie o la rodilla) como martillo, golpeando de forma repetida.</t>
  </si>
  <si>
    <t>Responda en relación a cada una de las acciones.
158. LEVANTAR MANUALMENTE, objetos, herramientas, materiales de mas de 3kg.
¿Durante cuanto tiempo tienes que trabajar realizando esta acción?</t>
  </si>
  <si>
    <t>159. Los pesos que con mayor frecuencia levantas son de:</t>
  </si>
  <si>
    <t>160. Señala si habitualmente:</t>
  </si>
  <si>
    <t>161. TRANSPORTAR MANUALMENTE objetos, herramientas, materiales de mas de 3kg.
¿Durante cuanto tiempo tienes que trabajar realizando esta acción?</t>
  </si>
  <si>
    <t>162. Los pesos que con mayor frecuencia levantas son de:</t>
  </si>
  <si>
    <t>163. Señala si habitualmente:</t>
  </si>
  <si>
    <t>164. EMPUJAR Y/O ARRASTRAR
MANUALMENTE utilizando algún equipo (carretilla, transpaleta, carro...) objetos, herramientas, materiales de mas de 3kg.
¿Durante cuanto tiempo tienes que trabajar realizando esta
acción?</t>
  </si>
  <si>
    <t>165. Señala si habitualmente:</t>
  </si>
  <si>
    <t>166. Accidente que tenga como consecuencia la muerte, la pérdida de un miembro o una lesión grave.</t>
  </si>
  <si>
    <t>167. Actos violentos que derivaron de lesiones graves</t>
  </si>
  <si>
    <t>168. Asaltos</t>
  </si>
  <si>
    <t>169. Secuestros</t>
  </si>
  <si>
    <t>170. Si usted ha contestado que "SI" a una o más de las preguntas anteriores, favor de contestar las siguientes:
¿Durante el último mes?</t>
  </si>
  <si>
    <t>171. ¿Ha tenido recuerdos recurrentes sobre el acontecimiento que le provocan malestares?</t>
  </si>
  <si>
    <t>172. ¿Ha tenido sueños de carácter recurrente sabre el acontecimiento, que le producen malestar?</t>
  </si>
  <si>
    <t>173. Durante el último mes
¿Se ha esforzado para evitar todo tipo de sentimientos, conversaciones o situaciones que le puedan recordar el acontecimiento?</t>
  </si>
  <si>
    <t>174. ¿Se ha esforzado para evitar todo tipo de actividades, lugares o personas que motivan recuerdos del acontecimiento?</t>
  </si>
  <si>
    <t>175. ¿Ha tenido dificultad para recordar alguna parte importante del evento?</t>
  </si>
  <si>
    <t>176. ¿Ha disminuido su interés en sus actividades cotidianas?</t>
  </si>
  <si>
    <t>177. ¿Se ha sentido usted alejado o distante de las demás?</t>
  </si>
  <si>
    <t>178. ¿Ha notado que tiene dificultad para expresar sus sentimientos?</t>
  </si>
  <si>
    <t>179. Ha tenido la impresión de que su vida se va a acortar, ¿Qué va a morir antes que otras personas o que tiene un futuro limitado?</t>
  </si>
  <si>
    <t>180. ¿Ha estado particularmente irritable o le han dado arranques de coraje?</t>
  </si>
  <si>
    <t>181. ¿Ha tenido dificultad para concentrarse?</t>
  </si>
  <si>
    <t>182. ¿Ha estado nervioso o constantemente en alerta?</t>
  </si>
  <si>
    <t>183. ¿Se ha sobresaltado fácilmente para cualquier cosa?</t>
  </si>
  <si>
    <t>Anhelo Silva Jose Hugo</t>
  </si>
  <si>
    <t>Servicios Juridicos</t>
  </si>
  <si>
    <t>Abogado</t>
  </si>
  <si>
    <t>Soltero</t>
  </si>
  <si>
    <t>Masculino</t>
  </si>
  <si>
    <t>Universidad</t>
  </si>
  <si>
    <t>Auxiliar Administrativo</t>
  </si>
  <si>
    <t>menos de 1 año</t>
  </si>
  <si>
    <t>Lunes a viernes</t>
  </si>
  <si>
    <t>menos de 7 horas</t>
  </si>
  <si>
    <t>Propio</t>
  </si>
  <si>
    <t>De $500 a $1000 pesos</t>
  </si>
  <si>
    <t>0 a 15 minutos</t>
  </si>
  <si>
    <t>No aplica</t>
  </si>
  <si>
    <t>Propia</t>
  </si>
  <si>
    <t>5 o mas veces a la semana</t>
  </si>
  <si>
    <t>1 a 2 veces a la semana</t>
  </si>
  <si>
    <t>Si, cuento con las recursos economicos y el tiempo para acceder a mis alimentos</t>
  </si>
  <si>
    <t>De 1 a 2 veces al año</t>
  </si>
  <si>
    <t>No tengo hijos</t>
  </si>
  <si>
    <t>Sentado</t>
  </si>
  <si>
    <t>Sí</t>
  </si>
  <si>
    <t>Aire acondicionado</t>
  </si>
  <si>
    <t>Normal</t>
  </si>
  <si>
    <t>No afecta</t>
  </si>
  <si>
    <t>No se perciben olores</t>
  </si>
  <si>
    <t>Adecuada a mis actividades</t>
  </si>
  <si>
    <t>No le molestan estos aspectos</t>
  </si>
  <si>
    <t>Bajo – Hay algo de ruido, pero no es molesto ni afecta la concentración.</t>
  </si>
  <si>
    <t>Sistema de ventilación</t>
  </si>
  <si>
    <t>1 - 3 horas</t>
  </si>
  <si>
    <t>No lo conozco</t>
  </si>
  <si>
    <t>Nunca</t>
  </si>
  <si>
    <t>No</t>
  </si>
  <si>
    <t>Media</t>
  </si>
  <si>
    <t>Insuficiente</t>
  </si>
  <si>
    <t>No hay un ritmo prefijado</t>
  </si>
  <si>
    <t>Provoca problemas menores</t>
  </si>
  <si>
    <t>BUENA</t>
  </si>
  <si>
    <t>No hay obstáculos que dificulten la comuniación</t>
  </si>
  <si>
    <t>Indeterminado</t>
  </si>
  <si>
    <t>Poco importante</t>
  </si>
  <si>
    <t>Formación superior</t>
  </si>
  <si>
    <t>Muy pocas</t>
  </si>
  <si>
    <t>No fumo</t>
  </si>
  <si>
    <t>Si</t>
  </si>
  <si>
    <t>5 veces por semana</t>
  </si>
  <si>
    <t>Mas de 5 días a la semana</t>
  </si>
  <si>
    <t>Cáncer, Diabetes, Enfermedades del corazón, Presión arterial alta</t>
  </si>
  <si>
    <t>Ninguna</t>
  </si>
  <si>
    <t>Cocaina</t>
  </si>
  <si>
    <t>Frecuentemente (todos los días)</t>
  </si>
  <si>
    <t>En la última semana</t>
  </si>
  <si>
    <t>Muchas veces</t>
  </si>
  <si>
    <t>A veces</t>
  </si>
  <si>
    <t>Rara vez (una vez al mes o menos)</t>
  </si>
  <si>
    <t>Regularmente (algunas veces a la semana)</t>
  </si>
  <si>
    <t>Mas de 4 horas</t>
  </si>
  <si>
    <t>Menos de 30 minutos</t>
  </si>
  <si>
    <t>Entre 2 y 4 horas</t>
  </si>
  <si>
    <t>Entre 30 min y 2 horas</t>
  </si>
  <si>
    <t>Mas de 25 kilos</t>
  </si>
  <si>
    <t>Levantas la carga tu solo/a (sin ayuda de otra persona)</t>
  </si>
  <si>
    <t>Transportas la carga tu solo/a (sin ayuda de otra persona)</t>
  </si>
  <si>
    <t>Tienes que hacer mucha fuerza para iniciar el empuje y/o arrastre</t>
  </si>
  <si>
    <t>Gómez Rodríguez Alejandra</t>
  </si>
  <si>
    <t>Departamento de contabilidad y auditoría</t>
  </si>
  <si>
    <t>Contador general</t>
  </si>
  <si>
    <t>Casado</t>
  </si>
  <si>
    <t>Femenino</t>
  </si>
  <si>
    <t>3 a 6 años</t>
  </si>
  <si>
    <t>2 a 3 años</t>
  </si>
  <si>
    <t>8 horas</t>
  </si>
  <si>
    <t>31 a 45 minutos</t>
  </si>
  <si>
    <t>Rentada</t>
  </si>
  <si>
    <t>3 a 4 veces a la semana</t>
  </si>
  <si>
    <t>Pública</t>
  </si>
  <si>
    <t>Comida</t>
  </si>
  <si>
    <t>Intensa</t>
  </si>
  <si>
    <t>La distribución y orden del espacio, Perturbaciones o distracciones</t>
  </si>
  <si>
    <t>Alto – El ruido es notable y puede resultar molesto, afectando la concentración y productividad.</t>
  </si>
  <si>
    <t>Conversaciones</t>
  </si>
  <si>
    <t>3 - 5 horas</t>
  </si>
  <si>
    <t>Suficiente</t>
  </si>
  <si>
    <t>Causas externas: publico/clientes</t>
  </si>
  <si>
    <t>Produce consecuencias graves</t>
  </si>
  <si>
    <t>A menudo</t>
  </si>
  <si>
    <t>Algunas Veces</t>
  </si>
  <si>
    <t>Más de 4</t>
  </si>
  <si>
    <t>Determinado</t>
  </si>
  <si>
    <t>Importante</t>
  </si>
  <si>
    <t>Bastantes</t>
  </si>
  <si>
    <t>Ocasionalmente (algunas veces al mes)</t>
  </si>
  <si>
    <t>1-2 latas de cerveza por semana por 10 años, de forma intermitente.</t>
  </si>
  <si>
    <t>1 o 2 días a la semana</t>
  </si>
  <si>
    <t>Diabetes, Presión arterial alta</t>
  </si>
  <si>
    <t>Complejo B, vitamina C</t>
  </si>
  <si>
    <t>Penicilina</t>
  </si>
  <si>
    <t>No he sufrido un accidente</t>
  </si>
  <si>
    <t>Secundaria a un esguince de tobillo</t>
  </si>
  <si>
    <t>No uso drogas</t>
  </si>
  <si>
    <t>No levanto peso</t>
  </si>
  <si>
    <t>No empujo</t>
  </si>
  <si>
    <t>Jorge Ferrer López</t>
  </si>
  <si>
    <t>Departamento Jurídico</t>
  </si>
  <si>
    <t>Posgrado</t>
  </si>
  <si>
    <t>Mandos Medios</t>
  </si>
  <si>
    <t>18 a 21 años</t>
  </si>
  <si>
    <t>mas de 3 años</t>
  </si>
  <si>
    <t>Mas de $1500 pesos</t>
  </si>
  <si>
    <t>Privada</t>
  </si>
  <si>
    <t>Frío</t>
  </si>
  <si>
    <t>Alergia</t>
  </si>
  <si>
    <t>Corporales (sudor, mal aliento, olor a pies, orina, heces, flatulencias)</t>
  </si>
  <si>
    <t>La distribución y orden del espacio, Sentimiento de encierro, Falta de socialización laboral, Aislamiento</t>
  </si>
  <si>
    <t>Algunas veces</t>
  </si>
  <si>
    <t>Excesiva</t>
  </si>
  <si>
    <t>Apresurado</t>
  </si>
  <si>
    <t>Entorpece el trabajo</t>
  </si>
  <si>
    <t>Siempre</t>
  </si>
  <si>
    <t>Tequila, un día de la semana</t>
  </si>
  <si>
    <t>No realizo</t>
  </si>
  <si>
    <t>Cáncer, Diabetes, Enfermedades del corazón, Enfermedades de los riñones</t>
  </si>
  <si>
    <t>No consumo</t>
  </si>
  <si>
    <t>No sufrí accidentes de trabajo</t>
  </si>
  <si>
    <t>Estrés, vista borrosa, ansiedad, migraña</t>
  </si>
  <si>
    <t>PERLA VIRIDIANA GONZALEZ ESPARZA</t>
  </si>
  <si>
    <t>Administración</t>
  </si>
  <si>
    <t>6 a 9 años</t>
  </si>
  <si>
    <t>Público</t>
  </si>
  <si>
    <t>No tengo</t>
  </si>
  <si>
    <t>mas de 1 hora</t>
  </si>
  <si>
    <t>De $50 a $100 pesos</t>
  </si>
  <si>
    <t>No, el ritmo de trabajo no me permite comprar y preparar mis alimentos</t>
  </si>
  <si>
    <t>Alta</t>
  </si>
  <si>
    <t>Objetivos que hay que alcanzar</t>
  </si>
  <si>
    <t>De los mas importantes</t>
  </si>
  <si>
    <t>Tequila, no he consumido durante mucho tiempo y aproximadamente 9 años</t>
  </si>
  <si>
    <t>NO</t>
  </si>
  <si>
    <t>NINGUNA</t>
  </si>
  <si>
    <t>Prueba 1</t>
  </si>
  <si>
    <t>Arquitectos</t>
  </si>
  <si>
    <t>Arquitecto</t>
  </si>
  <si>
    <t>1 a 3 años</t>
  </si>
  <si>
    <t>1 a 2 años</t>
  </si>
  <si>
    <t>10 horas</t>
  </si>
  <si>
    <t>Plataforma (Uber, DIDI u otros)</t>
  </si>
  <si>
    <t>45 a 60 minutos</t>
  </si>
  <si>
    <t>Más de $100 pesos</t>
  </si>
  <si>
    <t>Prestada</t>
  </si>
  <si>
    <t>No estudian</t>
  </si>
  <si>
    <t>Ambos</t>
  </si>
  <si>
    <t>Ventana o natural</t>
  </si>
  <si>
    <t>Resequedad</t>
  </si>
  <si>
    <t>La distribución y orden del espacio, Perturbaciones o distracciones, La falta de limpieza, Sentimiento de encierro, La decoración, La alfombra en el suelo y/o pared, Falta de socialización laboral, Aislamiento</t>
  </si>
  <si>
    <t>Muy alto – El ruido es muy fuerte y constante, impidiendo la concentración y generando incomodidad.</t>
  </si>
  <si>
    <t>Maquinaria y/o equipos de producción</t>
  </si>
  <si>
    <t>5 horas o más</t>
  </si>
  <si>
    <t>Luz ultravioleta (soldadura eléctrica al arco, lámparas, germicidas…), excluida la luz solar, Luz infrarroja, Microondas (hornos de secado, antenas de telefonía móvil…), Radiofrecuencias (soldaduras por radiofrecuencias, calentamiento de bajíos…), Rayos lasser, Rayos X, rayos gamma, radioisótopos (radiodiagnóstico, radioterapia, diagnóstico de soldaduras)</t>
  </si>
  <si>
    <t>Guantes plomizos (para rayos x)</t>
  </si>
  <si>
    <t>Líneas de vida y de anclaje</t>
  </si>
  <si>
    <t>Caídas de distinto nivel en metros</t>
  </si>
  <si>
    <t>Contacto con superficies calientes o flamas</t>
  </si>
  <si>
    <t>Hidrocarburos. (gasolina, Diesel, turbosina, etc.)</t>
  </si>
  <si>
    <t>Si, todos</t>
  </si>
  <si>
    <t>Complicada</t>
  </si>
  <si>
    <t>Si, de forma deliberada o intencionada: laboratorios de diagnóstico microbiológico, trabajo con animales, obtención de vacunas, insulina u otros medicamentos, procesos de fermentación.</t>
  </si>
  <si>
    <t>El ritmo de una maquina o línea</t>
  </si>
  <si>
    <t>MALA</t>
  </si>
  <si>
    <t>La normatividad de la empresa, El inmediato superior, El ritmo de trabajo, No poder desviar la atención del trabajo, No hay obstáculos que dificulten la comuniación</t>
  </si>
  <si>
    <t>Formación técnica</t>
  </si>
  <si>
    <t>2 x día</t>
  </si>
  <si>
    <t>una copa diaria</t>
  </si>
  <si>
    <t>Cáncer, Diabetes, Enfermedades del corazón, Presión arterial alta, Enfermedades de los riñones, Enfermedades cerebrovasculares, Enfermedades mentales, Intento de Suicidio, Enfermedades reumatológicas</t>
  </si>
  <si>
    <t>Hipertensión Arterial Esencial, Obesidad Mórbida, Diabetes Mellitus tipo II, Otros</t>
  </si>
  <si>
    <t>varias</t>
  </si>
  <si>
    <t>aspirina</t>
  </si>
  <si>
    <t>si, al polvo</t>
  </si>
  <si>
    <t>me cai</t>
  </si>
  <si>
    <t>me rompi la nariz</t>
  </si>
  <si>
    <t>heroina</t>
  </si>
  <si>
    <t>Levantas la carga con dificultad por no tener buen agarre (sin asa)</t>
  </si>
  <si>
    <t>Tienes que transportar la carga cada pocos segundos</t>
  </si>
  <si>
    <t>Tienes que empujar y/o arrastrar la carga cada pocos segundos</t>
  </si>
  <si>
    <t>Pregunta</t>
  </si>
  <si>
    <t>Respuesta</t>
  </si>
  <si>
    <t>Ponderación</t>
  </si>
  <si>
    <t>Respuestas</t>
  </si>
  <si>
    <t>Viudo</t>
  </si>
  <si>
    <t>Divorciado</t>
  </si>
  <si>
    <t>Primaria</t>
  </si>
  <si>
    <t>Estudios técnicos</t>
  </si>
  <si>
    <t>Secundaria</t>
  </si>
  <si>
    <t>Preparatoria</t>
  </si>
  <si>
    <t>Obrero General</t>
  </si>
  <si>
    <t>Supervisor administrativo</t>
  </si>
  <si>
    <t>Oficial calificado</t>
  </si>
  <si>
    <t>Auxiliar administrativo</t>
  </si>
  <si>
    <t>Dirección</t>
  </si>
  <si>
    <t>9 a 12 años</t>
  </si>
  <si>
    <t>12 a 15 años</t>
  </si>
  <si>
    <t>15 a 18 años</t>
  </si>
  <si>
    <t>mas de 21 años</t>
  </si>
  <si>
    <t>Lunes a sabado</t>
  </si>
  <si>
    <t>9 horas</t>
  </si>
  <si>
    <t>11 horas</t>
  </si>
  <si>
    <t>12 o más</t>
  </si>
  <si>
    <t>más de 3</t>
  </si>
  <si>
    <t>no tengo</t>
  </si>
  <si>
    <t>Menos de $300 pesos</t>
  </si>
  <si>
    <t>De $300 a $500 pesos</t>
  </si>
  <si>
    <t>16 a 30 minutos</t>
  </si>
  <si>
    <t>De $1 a $20 pesos</t>
  </si>
  <si>
    <t>De $20 a $50 pesos</t>
  </si>
  <si>
    <t>Menos de 1 vez a la semana</t>
  </si>
  <si>
    <t>No, economicamente no me es posible</t>
  </si>
  <si>
    <t>Más de 3 veces al año</t>
  </si>
  <si>
    <t>Detalle…</t>
  </si>
  <si>
    <t>Ninguno</t>
  </si>
  <si>
    <t>3 o 5 días a la semana</t>
  </si>
  <si>
    <t>Ninguna de las anteriores</t>
  </si>
  <si>
    <t>Otro….</t>
  </si>
  <si>
    <t>Hace más de un año</t>
  </si>
  <si>
    <t>Hace entre 6 meses y un año</t>
  </si>
  <si>
    <t>Hace entre 1 y 6 meses</t>
  </si>
  <si>
    <t>Hace menos de un mes</t>
  </si>
  <si>
    <t>De pie</t>
  </si>
  <si>
    <t>Extractor de aire</t>
  </si>
  <si>
    <t>Caliente</t>
  </si>
  <si>
    <t>Insolación</t>
  </si>
  <si>
    <t>Deshidratación</t>
  </si>
  <si>
    <t>Agenges químicos</t>
  </si>
  <si>
    <t>Humo de tabaco</t>
  </si>
  <si>
    <t>Gas</t>
  </si>
  <si>
    <t>Drenaje</t>
  </si>
  <si>
    <t>Otros</t>
  </si>
  <si>
    <t>Demasiado intensa</t>
  </si>
  <si>
    <t>Escasa</t>
  </si>
  <si>
    <t>Sistemas de ventilación</t>
  </si>
  <si>
    <t>La calle o exterior</t>
  </si>
  <si>
    <t>Equipos de oficina</t>
  </si>
  <si>
    <t>No hay ruido</t>
  </si>
  <si>
    <t>Menos de 60 minutos</t>
  </si>
  <si>
    <t>70 dBA</t>
  </si>
  <si>
    <t>80 dBa</t>
  </si>
  <si>
    <t>Más de 100 dBA</t>
  </si>
  <si>
    <t>No estoy seguro o lo desconozco</t>
  </si>
  <si>
    <t>No estoy expuesto a radiación ionizante</t>
  </si>
  <si>
    <t>Delantales</t>
  </si>
  <si>
    <t>Trajes aluminizaddos</t>
  </si>
  <si>
    <t xml:space="preserve">Trajes en fibras espaciales para prevenir el ingreso a radiación </t>
  </si>
  <si>
    <t>Zapatos especiales</t>
  </si>
  <si>
    <t>Protección ocular</t>
  </si>
  <si>
    <t>Arnés de seguridad tipo paracaídas</t>
  </si>
  <si>
    <t>Cinturón portaherramientas</t>
  </si>
  <si>
    <t>Calzado contra - impactos</t>
  </si>
  <si>
    <t>Casco contra - impactos</t>
  </si>
  <si>
    <t>Guantes dieléctricos</t>
  </si>
  <si>
    <t>Derrumbe de estructuras</t>
  </si>
  <si>
    <t>Golpes por cáida de objetos</t>
  </si>
  <si>
    <t>Atrapamiento</t>
  </si>
  <si>
    <t>Contactos eléctricos</t>
  </si>
  <si>
    <t>Contacto con energía eléctrica</t>
  </si>
  <si>
    <t>Exposición ahumos metálicos y gases tóxicos</t>
  </si>
  <si>
    <t>Productos fitosanitarios, plaguicidas o fertilizantes</t>
  </si>
  <si>
    <t>Solventes (orgánicos o inorgánicos) tolueno, xileno, alcohol isopropílico</t>
  </si>
  <si>
    <t>Metales coma el plomo y el mercurio</t>
  </si>
  <si>
    <t>Otra</t>
  </si>
  <si>
    <t>Si, algunos</t>
  </si>
  <si>
    <t>A veces complicada</t>
  </si>
  <si>
    <t>Fácil de entender</t>
  </si>
  <si>
    <t>Si, de manera involuntaria, habitual o esporádica: actividad sanitaria, tratamiento de residuos, recogida de basura, trabajos subterráneos.</t>
  </si>
  <si>
    <t>Baja</t>
  </si>
  <si>
    <t>El ritmo de otros compañeros</t>
  </si>
  <si>
    <t>Lento</t>
  </si>
  <si>
    <t>Pasa desapercibido</t>
  </si>
  <si>
    <t>Buena</t>
  </si>
  <si>
    <t>Regular</t>
  </si>
  <si>
    <t>Mala</t>
  </si>
  <si>
    <t>De los más importantes</t>
  </si>
  <si>
    <t>Formación media</t>
  </si>
  <si>
    <t>Práctica en el puesto</t>
  </si>
  <si>
    <t>Saber leer y escribir</t>
  </si>
  <si>
    <t>Valor</t>
  </si>
  <si>
    <t>Muchas</t>
  </si>
  <si>
    <t>Menos de 30 min</t>
  </si>
  <si>
    <t>Entre 3 y 5 kilos</t>
  </si>
  <si>
    <t>Entre 5 y 15 kilos</t>
  </si>
  <si>
    <t>Entre 15 y 25 kilos</t>
  </si>
  <si>
    <t>Levantas la carga por debajo de tus rodillas</t>
  </si>
  <si>
    <t>Levantas la carga por encima de tus hombros</t>
  </si>
  <si>
    <t>Mantienes los brazos extendidos sin poder apoyar la carga en tu cuerpo</t>
  </si>
  <si>
    <t>Transportas la carga con los brazos extendidos sin apoyar la carga en tu cuerpo y sin doblar los codos.</t>
  </si>
  <si>
    <t>Transportas la carga con dificultad porno tener buen agarre (sin asa)</t>
  </si>
  <si>
    <t>Caminas mas de 10 metros transportando la carga</t>
  </si>
  <si>
    <t>Tienes que hacer mucha fuerza para desplazar la carga</t>
  </si>
  <si>
    <t>La zona donde tienes que poner las manos al empujar y/o arrastrar no es adecuada (muy alta, muy baja, difícil de agarrar, etc.)</t>
  </si>
  <si>
    <t>Selección</t>
  </si>
  <si>
    <t>Fecha aplicación</t>
  </si>
  <si>
    <t>Nombre</t>
  </si>
  <si>
    <t>Edad</t>
  </si>
  <si>
    <t>años</t>
  </si>
  <si>
    <t>Tiempo cuestionario</t>
  </si>
  <si>
    <t>días</t>
  </si>
  <si>
    <t>Generales</t>
  </si>
  <si>
    <t>Departamento</t>
  </si>
  <si>
    <t>Puesto</t>
  </si>
  <si>
    <t>Estado civil</t>
  </si>
  <si>
    <t>Genero</t>
  </si>
  <si>
    <t>Estudios</t>
  </si>
  <si>
    <t>Antigüedad en el puesto</t>
  </si>
  <si>
    <t>Misma actividad</t>
  </si>
  <si>
    <t>Días semana trabaja</t>
  </si>
  <si>
    <t>Horas por día</t>
  </si>
  <si>
    <t>Tipo transporte</t>
  </si>
  <si>
    <t>Gasolina semanal</t>
  </si>
  <si>
    <t>Tiempo traslado</t>
  </si>
  <si>
    <t>Transporte público</t>
  </si>
  <si>
    <t>Casa</t>
  </si>
  <si>
    <t>Ponderaciones</t>
  </si>
  <si>
    <t>Min</t>
  </si>
  <si>
    <t>Resultado</t>
  </si>
  <si>
    <t>Maximo</t>
  </si>
  <si>
    <t>Rango</t>
  </si>
  <si>
    <t># Respuestas</t>
  </si>
  <si>
    <t># Preguntas</t>
  </si>
  <si>
    <t>General</t>
  </si>
  <si>
    <t>Laboral</t>
  </si>
  <si>
    <t>Hábitos</t>
  </si>
  <si>
    <t>Médica</t>
  </si>
  <si>
    <t>Psicologicos</t>
  </si>
  <si>
    <t>Factor ajuste</t>
  </si>
  <si>
    <t>Notas</t>
  </si>
  <si>
    <t>*</t>
  </si>
  <si>
    <t>2025/07/07 1:41:03 PM CST</t>
  </si>
  <si>
    <t xml:space="preserve">Jorge Ferrer LÃ³pez </t>
  </si>
  <si>
    <t xml:space="preserve">Departamento JurÃ­dico </t>
  </si>
  <si>
    <t>18 a 21</t>
  </si>
  <si>
    <t>mas de 3 aÃ±os</t>
  </si>
  <si>
    <t>De 1 a 2 veces al aÃ±o</t>
  </si>
  <si>
    <t>SÃ­</t>
  </si>
  <si>
    <t>FrÃ­o</t>
  </si>
  <si>
    <t>La distribuciÃ³n y orden del espacio;Sentimiento de encierro;Falta de socializaciÃ³n laboral;Aislamiento</t>
  </si>
  <si>
    <t>Bajo â€“ Hay algo de ruido, pero no es molesto ni afecta la concentraciÃ³n.</t>
  </si>
  <si>
    <t>No hay obstÃ¡culos que dificulten la comuniaciÃ³n</t>
  </si>
  <si>
    <t>FormaciÃ³n superior</t>
  </si>
  <si>
    <t>Frecuentemente (todos los dÃ­as)</t>
  </si>
  <si>
    <t xml:space="preserve">Tequila, un dÃ­a de la semana </t>
  </si>
  <si>
    <t>CÃ¡ncer;Diabetes;Enfermedades del corazÃ³n;Enfermedades de los riÃ±ones</t>
  </si>
  <si>
    <t xml:space="preserve">No sufrÃ­ accidentes de trabajo </t>
  </si>
  <si>
    <t>EstrÃ©s, vista borrosa, ansiedad, migraÃ±a</t>
  </si>
  <si>
    <t>2025/09/09 1:08:13 PM CST</t>
  </si>
  <si>
    <t>jfl</t>
  </si>
  <si>
    <t>j</t>
  </si>
  <si>
    <t>f</t>
  </si>
  <si>
    <t>Supervisor Administrativo</t>
  </si>
  <si>
    <t>9 a 12 aÃ±os</t>
  </si>
  <si>
    <t>1 a 2 aÃ±os</t>
  </si>
  <si>
    <t>Mas de 3 veces al aÃ±o</t>
  </si>
  <si>
    <t>El ritmo de trabajo</t>
  </si>
  <si>
    <t>FormaciÃ³n media</t>
  </si>
  <si>
    <t>no aplica</t>
  </si>
  <si>
    <t>3 o 5 dÃ­as a la semana</t>
  </si>
  <si>
    <t>Diabetes;Enfermedades del corazÃ³n</t>
  </si>
  <si>
    <t>Diabetes Mellitus tipo II</t>
  </si>
  <si>
    <t>Hace entre 6 meses y un aÃ±o</t>
  </si>
  <si>
    <t>Entre 30min y 2 horas</t>
  </si>
  <si>
    <t>2025/07/08 11:36:12 AM CST</t>
  </si>
  <si>
    <t xml:space="preserve">AdministraciÃ³n </t>
  </si>
  <si>
    <t xml:space="preserve">Auxiliar Administrativo </t>
  </si>
  <si>
    <t>6 a 9 aÃ±os</t>
  </si>
  <si>
    <t>Publico</t>
  </si>
  <si>
    <t>Tequila, no he consumido durante mucho tiempo y aproximadamente 9 aÃ±os</t>
  </si>
  <si>
    <t>1 o 2 dÃ­as a la semana</t>
  </si>
  <si>
    <t>Diabetes;PresiÃ³n arterial alta</t>
  </si>
  <si>
    <t xml:space="preserve">No consumo </t>
  </si>
  <si>
    <t xml:space="preserve">NINGUNA </t>
  </si>
  <si>
    <t xml:space="preserve">PRUEBA PERLA VIRIDIANA GONZALEZ ESPARZA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</si>
</sst>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name val="Calibri"/>
      <scheme val="minor"/>
    </font>
    <font>
      <sz val="11"/>
      <color rgb="FFFF0000"/>
      <name val="Calibri"/>
    </font>
    <font>
      <sz val="10"/>
      <name val="Roboto"/>
    </font>
    <font>
      <sz val="10"/>
      <color rgb="FFFFFFFF"/>
      <name val="Roboto"/>
    </font>
    <font>
      <sz val="10"/>
      <color rgb="FF434343"/>
      <name val="Roboto"/>
    </font>
    <font>
      <sz val="10"/>
      <name val="Arial"/>
    </font>
    <font>
      <sz val="11"/>
      <name val="Calibri"/>
    </font>
    <font>
      <b/>
      <sz val="11"/>
      <name val="Calibri"/>
    </font>
  </fonts>
  <fills count="15">
    <fill>
      <patternFill patternType="none"/>
    </fill>
    <fill>
      <patternFill patternType="gray125"/>
    </fill>
    <fill>
      <patternFill patternType="solid">
        <fgColor rgb="FF8EAADB"/>
        <bgColor rgb="FF8EAADB"/>
      </patternFill>
    </fill>
    <fill>
      <patternFill patternType="solid">
        <fgColor rgb="FFFEF2CB"/>
        <bgColor rgb="FFFEF2CB"/>
      </patternFill>
    </fill>
    <fill>
      <patternFill patternType="solid">
        <fgColor rgb="FFBDD6EE"/>
        <bgColor rgb="FFBDD6EE"/>
      </patternFill>
    </fill>
    <fill>
      <patternFill patternType="solid">
        <fgColor rgb="FF5B3F86"/>
        <bgColor rgb="FF5B3F86"/>
      </patternFill>
    </fill>
    <fill>
      <patternFill patternType="solid">
        <fgColor rgb="FFC5E0B3"/>
        <bgColor rgb="FFC5E0B3"/>
      </patternFill>
    </fill>
    <fill>
      <patternFill patternType="solid">
        <fgColor rgb="FFF4B083"/>
        <bgColor rgb="FFF4B083"/>
      </patternFill>
    </fill>
    <fill>
      <patternFill patternType="solid">
        <fgColor rgb="FFFFFFFF"/>
        <bgColor rgb="FFFFFFFF"/>
      </patternFill>
    </fill>
    <fill>
      <patternFill patternType="solid">
        <fgColor rgb="FFF8F9FA"/>
        <bgColor rgb="FFF8F9FA"/>
      </patternFill>
    </fill>
    <fill>
      <patternFill patternType="solid">
        <fgColor rgb="FFD8D8D8"/>
        <bgColor rgb="FFD8D8D8"/>
      </patternFill>
    </fill>
    <fill>
      <patternFill patternType="solid">
        <fgColor rgb="FFB4C6E7"/>
        <bgColor rgb="FFB4C6E7"/>
      </patternFill>
    </fill>
    <fill>
      <patternFill patternType="solid">
        <fgColor rgb="FFFFFF00"/>
        <bgColor rgb="FFFFFF00"/>
      </patternFill>
    </fill>
    <fill>
      <patternFill patternType="solid">
        <fgColor rgb="FFFF0000"/>
        <bgColor indexed="64"/>
      </patternFill>
    </fill>
    <fill>
      <patternFill patternType="solid">
        <fgColor rgb="FFFF0000"/>
        <bgColor rgb="FFFFFFFF"/>
      </patternFill>
    </fill>
  </fills>
  <borders count="21">
    <border>
      <left/>
      <right/>
      <top/>
      <bottom/>
      <diagonal/>
    </border>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s>
  <cellStyleXfs count="1">
    <xf numFmtId="0" fontId="0" fillId="0" borderId="0"/>
  </cellStyleXfs>
  <cellXfs count="60">
    <xf numFmtId="0" fontId="0" fillId="0" borderId="0" xfId="0"/>
    <xf numFmtId="0" fontId="1" fillId="2" borderId="1" xfId="0" applyFont="1" applyFill="1" applyBorder="1"/>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4" borderId="3" xfId="0" applyFont="1" applyFill="1" applyBorder="1" applyAlignment="1">
      <alignment vertical="center" wrapText="1"/>
    </xf>
    <xf numFmtId="0" fontId="3" fillId="5" borderId="3" xfId="0" applyFont="1" applyFill="1" applyBorder="1" applyAlignment="1">
      <alignment vertical="center" wrapText="1"/>
    </xf>
    <xf numFmtId="0" fontId="2" fillId="6" borderId="3" xfId="0" applyFont="1" applyFill="1" applyBorder="1" applyAlignment="1">
      <alignment vertical="center" wrapText="1"/>
    </xf>
    <xf numFmtId="0" fontId="2" fillId="7" borderId="3" xfId="0" applyFont="1" applyFill="1" applyBorder="1" applyAlignment="1">
      <alignment vertical="center" wrapText="1"/>
    </xf>
    <xf numFmtId="0" fontId="2" fillId="7" borderId="4" xfId="0" applyFont="1" applyFill="1" applyBorder="1" applyAlignment="1">
      <alignment vertical="center" wrapText="1"/>
    </xf>
    <xf numFmtId="22" fontId="4" fillId="8" borderId="5" xfId="0" applyNumberFormat="1" applyFont="1" applyFill="1" applyBorder="1" applyAlignment="1">
      <alignment horizontal="right" vertical="center" wrapText="1"/>
    </xf>
    <xf numFmtId="0" fontId="4" fillId="8" borderId="6" xfId="0" applyFont="1" applyFill="1" applyBorder="1" applyAlignment="1">
      <alignment vertical="center" wrapText="1"/>
    </xf>
    <xf numFmtId="14" fontId="4" fillId="8" borderId="6" xfId="0" applyNumberFormat="1" applyFont="1" applyFill="1" applyBorder="1" applyAlignment="1">
      <alignment horizontal="right" vertical="center" wrapText="1"/>
    </xf>
    <xf numFmtId="0" fontId="4" fillId="8" borderId="6" xfId="0" applyFont="1" applyFill="1" applyBorder="1" applyAlignment="1">
      <alignment horizontal="right" vertical="center" wrapText="1"/>
    </xf>
    <xf numFmtId="0" fontId="5" fillId="8" borderId="6" xfId="0" applyFont="1" applyFill="1" applyBorder="1" applyAlignment="1">
      <alignment vertical="center" wrapText="1"/>
    </xf>
    <xf numFmtId="0" fontId="4" fillId="8" borderId="7" xfId="0" applyFont="1" applyFill="1" applyBorder="1" applyAlignment="1">
      <alignment vertical="center" wrapText="1"/>
    </xf>
    <xf numFmtId="22" fontId="4" fillId="9" borderId="8" xfId="0" applyNumberFormat="1" applyFont="1" applyFill="1" applyBorder="1" applyAlignment="1">
      <alignment horizontal="right" vertical="center" wrapText="1"/>
    </xf>
    <xf numFmtId="0" fontId="4" fillId="9" borderId="9" xfId="0" applyFont="1" applyFill="1" applyBorder="1" applyAlignment="1">
      <alignment vertical="center" wrapText="1"/>
    </xf>
    <xf numFmtId="14" fontId="4" fillId="9" borderId="9" xfId="0" applyNumberFormat="1" applyFont="1" applyFill="1" applyBorder="1" applyAlignment="1">
      <alignment horizontal="right" vertical="center" wrapText="1"/>
    </xf>
    <xf numFmtId="0" fontId="4" fillId="9" borderId="9" xfId="0" applyFont="1" applyFill="1" applyBorder="1" applyAlignment="1">
      <alignment horizontal="right" vertical="center" wrapText="1"/>
    </xf>
    <xf numFmtId="0" fontId="5" fillId="9" borderId="9" xfId="0" applyFont="1" applyFill="1" applyBorder="1" applyAlignment="1">
      <alignment vertical="center" wrapText="1"/>
    </xf>
    <xf numFmtId="0" fontId="4" fillId="9" borderId="10" xfId="0" applyFont="1" applyFill="1" applyBorder="1" applyAlignment="1">
      <alignment vertical="center" wrapText="1"/>
    </xf>
    <xf numFmtId="22" fontId="4" fillId="8" borderId="11" xfId="0" applyNumberFormat="1" applyFont="1" applyFill="1" applyBorder="1" applyAlignment="1">
      <alignment horizontal="right" vertical="center" wrapText="1"/>
    </xf>
    <xf numFmtId="0" fontId="4" fillId="8" borderId="12" xfId="0" applyFont="1" applyFill="1" applyBorder="1" applyAlignment="1">
      <alignment vertical="center" wrapText="1"/>
    </xf>
    <xf numFmtId="14" fontId="4" fillId="8" borderId="12" xfId="0" applyNumberFormat="1" applyFont="1" applyFill="1" applyBorder="1" applyAlignment="1">
      <alignment horizontal="right" vertical="center" wrapText="1"/>
    </xf>
    <xf numFmtId="0" fontId="4" fillId="8" borderId="12" xfId="0" applyFont="1" applyFill="1" applyBorder="1" applyAlignment="1">
      <alignment horizontal="right" vertical="center" wrapText="1"/>
    </xf>
    <xf numFmtId="0" fontId="5" fillId="8" borderId="12" xfId="0" applyFont="1" applyFill="1" applyBorder="1" applyAlignment="1">
      <alignment vertical="center" wrapText="1"/>
    </xf>
    <xf numFmtId="0" fontId="4" fillId="8" borderId="10" xfId="0" applyFont="1" applyFill="1" applyBorder="1" applyAlignment="1">
      <alignment vertical="center" wrapText="1"/>
    </xf>
    <xf numFmtId="22" fontId="4" fillId="8" borderId="13" xfId="0" applyNumberFormat="1" applyFont="1" applyFill="1" applyBorder="1" applyAlignment="1">
      <alignment horizontal="right" vertical="center" wrapText="1"/>
    </xf>
    <xf numFmtId="0" fontId="4" fillId="8" borderId="14" xfId="0" applyFont="1" applyFill="1" applyBorder="1" applyAlignment="1">
      <alignment vertical="center" wrapText="1"/>
    </xf>
    <xf numFmtId="14" fontId="4" fillId="8" borderId="14" xfId="0" applyNumberFormat="1" applyFont="1" applyFill="1" applyBorder="1" applyAlignment="1">
      <alignment horizontal="right" vertical="center" wrapText="1"/>
    </xf>
    <xf numFmtId="0" fontId="4" fillId="8" borderId="14" xfId="0" applyFont="1" applyFill="1" applyBorder="1" applyAlignment="1">
      <alignment horizontal="right" vertical="center" wrapText="1"/>
    </xf>
    <xf numFmtId="0" fontId="4" fillId="8" borderId="15" xfId="0" applyFont="1" applyFill="1" applyBorder="1" applyAlignment="1">
      <alignment vertical="center" wrapText="1"/>
    </xf>
    <xf numFmtId="0" fontId="6" fillId="0" borderId="16" xfId="0" applyFont="1" applyBorder="1"/>
    <xf numFmtId="0" fontId="6" fillId="10" borderId="16" xfId="0" applyFont="1" applyFill="1" applyBorder="1"/>
    <xf numFmtId="0" fontId="6" fillId="0" borderId="0" xfId="0" applyFont="1" applyAlignment="1">
      <alignment horizontal="center"/>
    </xf>
    <xf numFmtId="0" fontId="6" fillId="0" borderId="16" xfId="0" applyFont="1" applyBorder="1" applyAlignment="1">
      <alignment horizontal="right"/>
    </xf>
    <xf numFmtId="0" fontId="6" fillId="11" borderId="1" xfId="0" applyFont="1" applyFill="1" applyBorder="1"/>
    <xf numFmtId="0" fontId="6" fillId="11" borderId="17" xfId="0" applyFont="1" applyFill="1" applyBorder="1"/>
    <xf numFmtId="0" fontId="6" fillId="0" borderId="18" xfId="0" applyFont="1" applyBorder="1"/>
    <xf numFmtId="0" fontId="6" fillId="0" borderId="0" xfId="0" applyFont="1"/>
    <xf numFmtId="0" fontId="6" fillId="0" borderId="19" xfId="0" applyFont="1" applyBorder="1"/>
    <xf numFmtId="0" fontId="6" fillId="0" borderId="20" xfId="0" applyFont="1" applyBorder="1"/>
    <xf numFmtId="0" fontId="6" fillId="12" borderId="1" xfId="0" applyFont="1" applyFill="1" applyBorder="1"/>
    <xf numFmtId="164" fontId="6" fillId="0" borderId="0" xfId="0" applyNumberFormat="1" applyFont="1"/>
    <xf numFmtId="0" fontId="6" fillId="0" borderId="0" xfId="0" applyFont="1" applyAlignment="1">
      <alignment horizontal="right"/>
    </xf>
    <xf numFmtId="0" fontId="6" fillId="0" borderId="0" xfId="0" applyFont="1" applyAlignment="1">
      <alignment horizontal="left"/>
    </xf>
    <xf numFmtId="0" fontId="7" fillId="0" borderId="0" xfId="0" applyFont="1"/>
    <xf numFmtId="0" fontId="7" fillId="0" borderId="0" xfId="0" applyFont="1" applyAlignment="1">
      <alignment horizontal="center"/>
    </xf>
    <xf numFmtId="1" fontId="7" fillId="0" borderId="0" xfId="0" applyNumberFormat="1" applyFont="1" applyAlignment="1">
      <alignment horizontal="center"/>
    </xf>
    <xf numFmtId="0" fontId="6" fillId="0" borderId="0" xfId="0" applyFont="1" applyAlignment="1">
      <alignment horizontal="right" vertical="top"/>
    </xf>
    <xf numFmtId="0" fontId="0" fillId="13" borderId="0" xfId="0" applyFill="1"/>
    <xf numFmtId="22" fontId="2" fillId="14" borderId="13" xfId="0" applyNumberFormat="1" applyFont="1" applyFill="1" applyBorder="1" applyAlignment="1">
      <alignment horizontal="right" vertical="center" wrapText="1"/>
    </xf>
    <xf numFmtId="0" fontId="2" fillId="14" borderId="14" xfId="0" applyFont="1" applyFill="1" applyBorder="1" applyAlignment="1">
      <alignment vertical="center" wrapText="1"/>
    </xf>
    <xf numFmtId="14" fontId="2" fillId="14" borderId="14" xfId="0" applyNumberFormat="1" applyFont="1" applyFill="1" applyBorder="1" applyAlignment="1">
      <alignment horizontal="right" vertical="center" wrapText="1"/>
    </xf>
    <xf numFmtId="0" fontId="2" fillId="14" borderId="14" xfId="0" applyFont="1" applyFill="1" applyBorder="1" applyAlignment="1">
      <alignment horizontal="right" vertical="center" wrapText="1"/>
    </xf>
    <xf numFmtId="0" fontId="2" fillId="14" borderId="15" xfId="0" applyFont="1" applyFill="1" applyBorder="1" applyAlignment="1">
      <alignment vertical="center" wrapText="1"/>
    </xf>
    <xf numFmtId="14" fontId="0" fillId="0" borderId="0" xfId="0" applyNumberFormat="1"/>
    <xf numFmtId="0" fontId="6" fillId="0" borderId="0" xfId="0" applyFont="1" applyAlignment="1">
      <alignment horizontal="left"/>
    </xf>
    <xf numFmtId="0" fontId="0" fillId="0" borderId="0" xfId="0"/>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radarChart>
        <c:radarStyle val="marker"/>
        <c:varyColors val="1"/>
        <c:ser>
          <c:idx val="0"/>
          <c:order val="0"/>
          <c:tx>
            <c:strRef>
              <c:f>'Reporte Ind'!$D$37</c:f>
              <c:strCache>
                <c:ptCount val="1"/>
                <c:pt idx="0">
                  <c:v>Resultado</c:v>
                </c:pt>
              </c:strCache>
            </c:strRef>
          </c:tx>
          <c:spPr>
            <a:ln cmpd="sng">
              <a:solidFill>
                <a:srgbClr val="4285F4"/>
              </a:solidFill>
            </a:ln>
          </c:spPr>
          <c:marker>
            <c:symbol val="none"/>
          </c:marker>
          <c:cat>
            <c:strRef>
              <c:f>'Reporte Ind'!$B$38:$B$42</c:f>
              <c:strCache>
                <c:ptCount val="5"/>
                <c:pt idx="0">
                  <c:v>General</c:v>
                </c:pt>
                <c:pt idx="1">
                  <c:v>Laboral</c:v>
                </c:pt>
                <c:pt idx="2">
                  <c:v>Hábitos</c:v>
                </c:pt>
                <c:pt idx="3">
                  <c:v>Médica</c:v>
                </c:pt>
                <c:pt idx="4">
                  <c:v>Psicologicos</c:v>
                </c:pt>
              </c:strCache>
            </c:strRef>
          </c:cat>
          <c:val>
            <c:numRef>
              <c:f>'Reporte Ind'!$D$38:$D$42</c:f>
              <c:numCache>
                <c:formatCode>0</c:formatCode>
                <c:ptCount val="5"/>
                <c:pt idx="0">
                  <c:v>49</c:v>
                </c:pt>
                <c:pt idx="1">
                  <c:v>39.333333333333336</c:v>
                </c:pt>
                <c:pt idx="2">
                  <c:v>12</c:v>
                </c:pt>
                <c:pt idx="3">
                  <c:v>32</c:v>
                </c:pt>
                <c:pt idx="4">
                  <c:v>4</c:v>
                </c:pt>
              </c:numCache>
            </c:numRef>
          </c:val>
          <c:extLst>
            <c:ext xmlns:c16="http://schemas.microsoft.com/office/drawing/2014/chart" uri="{C3380CC4-5D6E-409C-BE32-E72D297353CC}">
              <c16:uniqueId val="{00000000-0A3C-44A6-AD6D-FCE7F6B71CEA}"/>
            </c:ext>
          </c:extLst>
        </c:ser>
        <c:ser>
          <c:idx val="1"/>
          <c:order val="1"/>
          <c:tx>
            <c:strRef>
              <c:f>'Reporte Ind'!$C$37</c:f>
              <c:strCache>
                <c:ptCount val="1"/>
                <c:pt idx="0">
                  <c:v>Min</c:v>
                </c:pt>
              </c:strCache>
            </c:strRef>
          </c:tx>
          <c:spPr>
            <a:ln cmpd="sng">
              <a:solidFill>
                <a:srgbClr val="EA4335"/>
              </a:solidFill>
            </a:ln>
          </c:spPr>
          <c:marker>
            <c:symbol val="none"/>
          </c:marker>
          <c:cat>
            <c:strRef>
              <c:f>'Reporte Ind'!$B$38:$B$42</c:f>
              <c:strCache>
                <c:ptCount val="5"/>
                <c:pt idx="0">
                  <c:v>General</c:v>
                </c:pt>
                <c:pt idx="1">
                  <c:v>Laboral</c:v>
                </c:pt>
                <c:pt idx="2">
                  <c:v>Hábitos</c:v>
                </c:pt>
                <c:pt idx="3">
                  <c:v>Médica</c:v>
                </c:pt>
                <c:pt idx="4">
                  <c:v>Psicologicos</c:v>
                </c:pt>
              </c:strCache>
            </c:strRef>
          </c:cat>
          <c:val>
            <c:numRef>
              <c:f>'Reporte Ind'!$C$38:$C$42</c:f>
              <c:numCache>
                <c:formatCode>General</c:formatCode>
                <c:ptCount val="5"/>
                <c:pt idx="0">
                  <c:v>19</c:v>
                </c:pt>
                <c:pt idx="1">
                  <c:v>27</c:v>
                </c:pt>
                <c:pt idx="2">
                  <c:v>4</c:v>
                </c:pt>
                <c:pt idx="3">
                  <c:v>0</c:v>
                </c:pt>
                <c:pt idx="4">
                  <c:v>4</c:v>
                </c:pt>
              </c:numCache>
            </c:numRef>
          </c:val>
          <c:extLst>
            <c:ext xmlns:c16="http://schemas.microsoft.com/office/drawing/2014/chart" uri="{C3380CC4-5D6E-409C-BE32-E72D297353CC}">
              <c16:uniqueId val="{00000001-0A3C-44A6-AD6D-FCE7F6B71CEA}"/>
            </c:ext>
          </c:extLst>
        </c:ser>
        <c:ser>
          <c:idx val="2"/>
          <c:order val="2"/>
          <c:tx>
            <c:strRef>
              <c:f>'Reporte Ind'!$E$37</c:f>
              <c:strCache>
                <c:ptCount val="1"/>
                <c:pt idx="0">
                  <c:v>Maximo</c:v>
                </c:pt>
              </c:strCache>
            </c:strRef>
          </c:tx>
          <c:spPr>
            <a:ln cmpd="sng">
              <a:solidFill>
                <a:srgbClr val="FBBC04"/>
              </a:solidFill>
            </a:ln>
          </c:spPr>
          <c:marker>
            <c:symbol val="none"/>
          </c:marker>
          <c:cat>
            <c:strRef>
              <c:f>'Reporte Ind'!$B$38:$B$42</c:f>
              <c:strCache>
                <c:ptCount val="5"/>
                <c:pt idx="0">
                  <c:v>General</c:v>
                </c:pt>
                <c:pt idx="1">
                  <c:v>Laboral</c:v>
                </c:pt>
                <c:pt idx="2">
                  <c:v>Hábitos</c:v>
                </c:pt>
                <c:pt idx="3">
                  <c:v>Médica</c:v>
                </c:pt>
                <c:pt idx="4">
                  <c:v>Psicologicos</c:v>
                </c:pt>
              </c:strCache>
            </c:strRef>
          </c:cat>
          <c:val>
            <c:numRef>
              <c:f>'Reporte Ind'!$E$38:$E$42</c:f>
              <c:numCache>
                <c:formatCode>General</c:formatCode>
                <c:ptCount val="5"/>
                <c:pt idx="0">
                  <c:v>80</c:v>
                </c:pt>
                <c:pt idx="1">
                  <c:v>148</c:v>
                </c:pt>
                <c:pt idx="2">
                  <c:v>44</c:v>
                </c:pt>
                <c:pt idx="3">
                  <c:v>135</c:v>
                </c:pt>
                <c:pt idx="4">
                  <c:v>38</c:v>
                </c:pt>
              </c:numCache>
            </c:numRef>
          </c:val>
          <c:extLst>
            <c:ext xmlns:c16="http://schemas.microsoft.com/office/drawing/2014/chart" uri="{C3380CC4-5D6E-409C-BE32-E72D297353CC}">
              <c16:uniqueId val="{00000002-0A3C-44A6-AD6D-FCE7F6B71CEA}"/>
            </c:ext>
          </c:extLst>
        </c:ser>
        <c:dLbls>
          <c:showLegendKey val="0"/>
          <c:showVal val="0"/>
          <c:showCatName val="0"/>
          <c:showSerName val="0"/>
          <c:showPercent val="0"/>
          <c:showBubbleSize val="0"/>
        </c:dLbls>
        <c:axId val="1051886479"/>
        <c:axId val="1654984818"/>
      </c:radarChart>
      <c:catAx>
        <c:axId val="1051886479"/>
        <c:scaling>
          <c:orientation val="minMax"/>
        </c:scaling>
        <c:delete val="0"/>
        <c:axPos val="b"/>
        <c:title>
          <c:tx>
            <c:rich>
              <a:bodyPr/>
              <a:lstStyle/>
              <a:p>
                <a:pPr lvl="0">
                  <a:defRPr b="0">
                    <a:solidFill>
                      <a:srgbClr val="000000"/>
                    </a:solidFill>
                    <a:latin typeface="+mn-lt"/>
                  </a:defRPr>
                </a:pPr>
                <a:endParaRPr lang="es-MX"/>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MX"/>
          </a:p>
        </c:txPr>
        <c:crossAx val="1654984818"/>
        <c:crosses val="autoZero"/>
        <c:auto val="1"/>
        <c:lblAlgn val="ctr"/>
        <c:lblOffset val="100"/>
        <c:noMultiLvlLbl val="1"/>
      </c:catAx>
      <c:valAx>
        <c:axId val="1654984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MX"/>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MX"/>
          </a:p>
        </c:txPr>
        <c:crossAx val="1051886479"/>
        <c:crosses val="autoZero"/>
        <c:crossBetween val="between"/>
      </c:valAx>
    </c:plotArea>
    <c:legend>
      <c:legendPos val="t"/>
      <c:overlay val="0"/>
      <c:txPr>
        <a:bodyPr/>
        <a:lstStyle/>
        <a:p>
          <a:pPr lvl="0">
            <a:defRPr sz="900" b="0" i="0">
              <a:solidFill>
                <a:srgbClr val="1A1A1A"/>
              </a:solidFill>
              <a:latin typeface="+mn-lt"/>
            </a:defRPr>
          </a:pPr>
          <a:endParaRPr lang="es-MX"/>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57150</xdr:colOff>
      <xdr:row>43</xdr:row>
      <xdr:rowOff>57150</xdr:rowOff>
    </xdr:from>
    <xdr:ext cx="4581525" cy="2714625"/>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723900</xdr:colOff>
      <xdr:row>1</xdr:row>
      <xdr:rowOff>95250</xdr:rowOff>
    </xdr:from>
    <xdr:ext cx="2305050" cy="952500"/>
    <xdr:pic>
      <xdr:nvPicPr>
        <xdr:cNvPr id="3" name="image1.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O100"/>
  <sheetViews>
    <sheetView topLeftCell="A6" workbookViewId="0">
      <selection activeCell="B11" sqref="B11"/>
    </sheetView>
  </sheetViews>
  <sheetFormatPr baseColWidth="10" defaultColWidth="14.42578125" defaultRowHeight="15" customHeight="1" x14ac:dyDescent="0.25"/>
  <cols>
    <col min="1" max="1" width="10.7109375" customWidth="1"/>
    <col min="2" max="2" width="15" customWidth="1"/>
    <col min="3" max="3" width="19.7109375" customWidth="1"/>
    <col min="4" max="4" width="14" customWidth="1"/>
    <col min="5" max="5" width="18.5703125" customWidth="1"/>
    <col min="6" max="9" width="10.7109375" customWidth="1"/>
    <col min="10" max="10" width="18" customWidth="1"/>
    <col min="11" max="223" width="10.7109375" customWidth="1"/>
  </cols>
  <sheetData>
    <row r="1" spans="1:223" ht="14.25" customHeight="1" x14ac:dyDescent="0.25">
      <c r="A1" s="1">
        <v>1</v>
      </c>
      <c r="B1" s="2">
        <f t="shared" ref="B1:HO1" si="0">+A1+1</f>
        <v>2</v>
      </c>
      <c r="C1" s="3">
        <f t="shared" si="0"/>
        <v>3</v>
      </c>
      <c r="D1" s="3">
        <f t="shared" si="0"/>
        <v>4</v>
      </c>
      <c r="E1" s="3">
        <f t="shared" si="0"/>
        <v>5</v>
      </c>
      <c r="F1" s="3">
        <f t="shared" si="0"/>
        <v>6</v>
      </c>
      <c r="G1" s="3">
        <f t="shared" si="0"/>
        <v>7</v>
      </c>
      <c r="H1" s="3">
        <f t="shared" si="0"/>
        <v>8</v>
      </c>
      <c r="I1" s="3">
        <f t="shared" si="0"/>
        <v>9</v>
      </c>
      <c r="J1" s="3">
        <f t="shared" si="0"/>
        <v>10</v>
      </c>
      <c r="K1" s="3">
        <f t="shared" si="0"/>
        <v>11</v>
      </c>
      <c r="L1" s="3">
        <f t="shared" si="0"/>
        <v>12</v>
      </c>
      <c r="M1" s="3">
        <f t="shared" si="0"/>
        <v>13</v>
      </c>
      <c r="N1" s="3">
        <f t="shared" si="0"/>
        <v>14</v>
      </c>
      <c r="O1" s="3">
        <f t="shared" si="0"/>
        <v>15</v>
      </c>
      <c r="P1" s="3">
        <f t="shared" si="0"/>
        <v>16</v>
      </c>
      <c r="Q1" s="3">
        <f t="shared" si="0"/>
        <v>17</v>
      </c>
      <c r="R1" s="3">
        <f t="shared" si="0"/>
        <v>18</v>
      </c>
      <c r="S1" s="3">
        <f t="shared" si="0"/>
        <v>19</v>
      </c>
      <c r="T1" s="3">
        <f t="shared" si="0"/>
        <v>20</v>
      </c>
      <c r="U1" s="3">
        <f t="shared" si="0"/>
        <v>21</v>
      </c>
      <c r="V1" s="3">
        <f t="shared" si="0"/>
        <v>22</v>
      </c>
      <c r="W1" s="3">
        <f t="shared" si="0"/>
        <v>23</v>
      </c>
      <c r="X1" s="3">
        <f t="shared" si="0"/>
        <v>24</v>
      </c>
      <c r="Y1" s="3">
        <f t="shared" si="0"/>
        <v>25</v>
      </c>
      <c r="Z1" s="3">
        <f t="shared" si="0"/>
        <v>26</v>
      </c>
      <c r="AA1" s="3">
        <f t="shared" si="0"/>
        <v>27</v>
      </c>
      <c r="AB1" s="4">
        <f t="shared" si="0"/>
        <v>28</v>
      </c>
      <c r="AC1" s="4">
        <f t="shared" si="0"/>
        <v>29</v>
      </c>
      <c r="AD1" s="4">
        <f t="shared" si="0"/>
        <v>30</v>
      </c>
      <c r="AE1" s="4">
        <f t="shared" si="0"/>
        <v>31</v>
      </c>
      <c r="AF1" s="4">
        <f t="shared" si="0"/>
        <v>32</v>
      </c>
      <c r="AG1" s="4">
        <f t="shared" si="0"/>
        <v>33</v>
      </c>
      <c r="AH1" s="4">
        <f t="shared" si="0"/>
        <v>34</v>
      </c>
      <c r="AI1" s="4">
        <f t="shared" si="0"/>
        <v>35</v>
      </c>
      <c r="AJ1" s="4">
        <f t="shared" si="0"/>
        <v>36</v>
      </c>
      <c r="AK1" s="4">
        <f t="shared" si="0"/>
        <v>37</v>
      </c>
      <c r="AL1" s="4">
        <f t="shared" si="0"/>
        <v>38</v>
      </c>
      <c r="AM1" s="4">
        <f t="shared" si="0"/>
        <v>39</v>
      </c>
      <c r="AN1" s="4">
        <f t="shared" si="0"/>
        <v>40</v>
      </c>
      <c r="AO1" s="4">
        <f t="shared" si="0"/>
        <v>41</v>
      </c>
      <c r="AP1" s="4">
        <f t="shared" si="0"/>
        <v>42</v>
      </c>
      <c r="AQ1" s="4">
        <f t="shared" si="0"/>
        <v>43</v>
      </c>
      <c r="AR1" s="4">
        <f t="shared" si="0"/>
        <v>44</v>
      </c>
      <c r="AS1" s="4">
        <f t="shared" si="0"/>
        <v>45</v>
      </c>
      <c r="AT1" s="4">
        <f t="shared" si="0"/>
        <v>46</v>
      </c>
      <c r="AU1" s="4">
        <f t="shared" si="0"/>
        <v>47</v>
      </c>
      <c r="AV1" s="4">
        <f t="shared" si="0"/>
        <v>48</v>
      </c>
      <c r="AW1" s="4">
        <f t="shared" si="0"/>
        <v>49</v>
      </c>
      <c r="AX1" s="4">
        <f t="shared" si="0"/>
        <v>50</v>
      </c>
      <c r="AY1" s="4">
        <f t="shared" si="0"/>
        <v>51</v>
      </c>
      <c r="AZ1" s="4">
        <f t="shared" si="0"/>
        <v>52</v>
      </c>
      <c r="BA1" s="4">
        <f t="shared" si="0"/>
        <v>53</v>
      </c>
      <c r="BB1" s="4">
        <f t="shared" si="0"/>
        <v>54</v>
      </c>
      <c r="BC1" s="4">
        <f t="shared" si="0"/>
        <v>55</v>
      </c>
      <c r="BD1" s="4">
        <f t="shared" si="0"/>
        <v>56</v>
      </c>
      <c r="BE1" s="4">
        <f t="shared" si="0"/>
        <v>57</v>
      </c>
      <c r="BF1" s="4">
        <f t="shared" si="0"/>
        <v>58</v>
      </c>
      <c r="BG1" s="4">
        <f t="shared" si="0"/>
        <v>59</v>
      </c>
      <c r="BH1" s="4">
        <f t="shared" si="0"/>
        <v>60</v>
      </c>
      <c r="BI1" s="4">
        <f t="shared" si="0"/>
        <v>61</v>
      </c>
      <c r="BJ1" s="4">
        <f t="shared" si="0"/>
        <v>62</v>
      </c>
      <c r="BK1" s="4">
        <f t="shared" si="0"/>
        <v>63</v>
      </c>
      <c r="BL1" s="4">
        <f t="shared" si="0"/>
        <v>64</v>
      </c>
      <c r="BM1" s="4">
        <f t="shared" si="0"/>
        <v>65</v>
      </c>
      <c r="BN1" s="4">
        <f t="shared" si="0"/>
        <v>66</v>
      </c>
      <c r="BO1" s="4">
        <f t="shared" si="0"/>
        <v>67</v>
      </c>
      <c r="BP1" s="4">
        <f t="shared" si="0"/>
        <v>68</v>
      </c>
      <c r="BQ1" s="4">
        <f t="shared" si="0"/>
        <v>69</v>
      </c>
      <c r="BR1" s="4">
        <f t="shared" si="0"/>
        <v>70</v>
      </c>
      <c r="BS1" s="4">
        <f t="shared" si="0"/>
        <v>71</v>
      </c>
      <c r="BT1" s="4">
        <f t="shared" si="0"/>
        <v>72</v>
      </c>
      <c r="BU1" s="4">
        <f t="shared" si="0"/>
        <v>73</v>
      </c>
      <c r="BV1" s="4">
        <f t="shared" si="0"/>
        <v>74</v>
      </c>
      <c r="BW1" s="4">
        <f t="shared" si="0"/>
        <v>75</v>
      </c>
      <c r="BX1" s="4">
        <f t="shared" si="0"/>
        <v>76</v>
      </c>
      <c r="BY1" s="4">
        <f t="shared" si="0"/>
        <v>77</v>
      </c>
      <c r="BZ1" s="4">
        <f t="shared" si="0"/>
        <v>78</v>
      </c>
      <c r="CA1" s="4">
        <f t="shared" si="0"/>
        <v>79</v>
      </c>
      <c r="CB1" s="4">
        <f t="shared" si="0"/>
        <v>80</v>
      </c>
      <c r="CC1" s="4">
        <f t="shared" si="0"/>
        <v>81</v>
      </c>
      <c r="CD1" s="4">
        <f t="shared" si="0"/>
        <v>82</v>
      </c>
      <c r="CE1" s="4">
        <f t="shared" si="0"/>
        <v>83</v>
      </c>
      <c r="CF1" s="4">
        <f t="shared" si="0"/>
        <v>84</v>
      </c>
      <c r="CG1" s="4">
        <f t="shared" si="0"/>
        <v>85</v>
      </c>
      <c r="CH1" s="4">
        <f t="shared" si="0"/>
        <v>86</v>
      </c>
      <c r="CI1" s="4">
        <f t="shared" si="0"/>
        <v>87</v>
      </c>
      <c r="CJ1" s="4">
        <f t="shared" si="0"/>
        <v>88</v>
      </c>
      <c r="CK1" s="4">
        <f t="shared" si="0"/>
        <v>89</v>
      </c>
      <c r="CL1" s="4">
        <f t="shared" si="0"/>
        <v>90</v>
      </c>
      <c r="CM1" s="4">
        <f t="shared" si="0"/>
        <v>91</v>
      </c>
      <c r="CN1" s="5">
        <f t="shared" si="0"/>
        <v>92</v>
      </c>
      <c r="CO1" s="5">
        <f t="shared" si="0"/>
        <v>93</v>
      </c>
      <c r="CP1" s="5">
        <f t="shared" si="0"/>
        <v>94</v>
      </c>
      <c r="CQ1" s="5">
        <f t="shared" si="0"/>
        <v>95</v>
      </c>
      <c r="CR1" s="5">
        <f t="shared" si="0"/>
        <v>96</v>
      </c>
      <c r="CS1" s="5">
        <f t="shared" si="0"/>
        <v>97</v>
      </c>
      <c r="CT1" s="5">
        <f t="shared" si="0"/>
        <v>98</v>
      </c>
      <c r="CU1" s="5">
        <f t="shared" si="0"/>
        <v>99</v>
      </c>
      <c r="CV1" s="5">
        <f t="shared" si="0"/>
        <v>100</v>
      </c>
      <c r="CW1" s="5">
        <f t="shared" si="0"/>
        <v>101</v>
      </c>
      <c r="CX1" s="5">
        <f t="shared" si="0"/>
        <v>102</v>
      </c>
      <c r="CY1" s="5">
        <f t="shared" si="0"/>
        <v>103</v>
      </c>
      <c r="CZ1" s="5">
        <f t="shared" si="0"/>
        <v>104</v>
      </c>
      <c r="DA1" s="5">
        <f t="shared" si="0"/>
        <v>105</v>
      </c>
      <c r="DB1" s="4">
        <f t="shared" si="0"/>
        <v>106</v>
      </c>
      <c r="DC1" s="4">
        <f t="shared" si="0"/>
        <v>107</v>
      </c>
      <c r="DD1" s="4">
        <f t="shared" si="0"/>
        <v>108</v>
      </c>
      <c r="DE1" s="4">
        <f t="shared" si="0"/>
        <v>109</v>
      </c>
      <c r="DF1" s="5">
        <f t="shared" si="0"/>
        <v>110</v>
      </c>
      <c r="DG1" s="5">
        <f t="shared" si="0"/>
        <v>111</v>
      </c>
      <c r="DH1" s="5">
        <f t="shared" si="0"/>
        <v>112</v>
      </c>
      <c r="DI1" s="5">
        <f t="shared" si="0"/>
        <v>113</v>
      </c>
      <c r="DJ1" s="5">
        <f t="shared" si="0"/>
        <v>114</v>
      </c>
      <c r="DK1" s="5">
        <f t="shared" si="0"/>
        <v>115</v>
      </c>
      <c r="DL1" s="6">
        <f t="shared" si="0"/>
        <v>116</v>
      </c>
      <c r="DM1" s="6">
        <f t="shared" si="0"/>
        <v>117</v>
      </c>
      <c r="DN1" s="6">
        <f t="shared" si="0"/>
        <v>118</v>
      </c>
      <c r="DO1" s="6">
        <f t="shared" si="0"/>
        <v>119</v>
      </c>
      <c r="DP1" s="6">
        <f t="shared" si="0"/>
        <v>120</v>
      </c>
      <c r="DQ1" s="6">
        <f t="shared" si="0"/>
        <v>121</v>
      </c>
      <c r="DR1" s="6">
        <f t="shared" si="0"/>
        <v>122</v>
      </c>
      <c r="DS1" s="6">
        <f t="shared" si="0"/>
        <v>123</v>
      </c>
      <c r="DT1" s="6">
        <f t="shared" si="0"/>
        <v>124</v>
      </c>
      <c r="DU1" s="6">
        <f t="shared" si="0"/>
        <v>125</v>
      </c>
      <c r="DV1" s="6">
        <f t="shared" si="0"/>
        <v>126</v>
      </c>
      <c r="DW1" s="6">
        <f t="shared" si="0"/>
        <v>127</v>
      </c>
      <c r="DX1" s="6">
        <f t="shared" si="0"/>
        <v>128</v>
      </c>
      <c r="DY1" s="6">
        <f t="shared" si="0"/>
        <v>129</v>
      </c>
      <c r="DZ1" s="6">
        <f t="shared" si="0"/>
        <v>130</v>
      </c>
      <c r="EA1" s="6">
        <f t="shared" si="0"/>
        <v>131</v>
      </c>
      <c r="EB1" s="6">
        <f t="shared" si="0"/>
        <v>132</v>
      </c>
      <c r="EC1" s="6">
        <f t="shared" si="0"/>
        <v>133</v>
      </c>
      <c r="ED1" s="6">
        <f t="shared" si="0"/>
        <v>134</v>
      </c>
      <c r="EE1" s="6">
        <f t="shared" si="0"/>
        <v>135</v>
      </c>
      <c r="EF1" s="6">
        <f t="shared" si="0"/>
        <v>136</v>
      </c>
      <c r="EG1" s="6">
        <f t="shared" si="0"/>
        <v>137</v>
      </c>
      <c r="EH1" s="6">
        <f t="shared" si="0"/>
        <v>138</v>
      </c>
      <c r="EI1" s="6">
        <f t="shared" si="0"/>
        <v>139</v>
      </c>
      <c r="EJ1" s="6">
        <f t="shared" si="0"/>
        <v>140</v>
      </c>
      <c r="EK1" s="6">
        <f t="shared" si="0"/>
        <v>141</v>
      </c>
      <c r="EL1" s="6">
        <f t="shared" si="0"/>
        <v>142</v>
      </c>
      <c r="EM1" s="6">
        <f t="shared" si="0"/>
        <v>143</v>
      </c>
      <c r="EN1" s="6">
        <f t="shared" si="0"/>
        <v>144</v>
      </c>
      <c r="EO1" s="6">
        <f t="shared" si="0"/>
        <v>145</v>
      </c>
      <c r="EP1" s="6">
        <f t="shared" si="0"/>
        <v>146</v>
      </c>
      <c r="EQ1" s="6">
        <f t="shared" si="0"/>
        <v>147</v>
      </c>
      <c r="ER1" s="6">
        <f t="shared" si="0"/>
        <v>148</v>
      </c>
      <c r="ES1" s="6">
        <f t="shared" si="0"/>
        <v>149</v>
      </c>
      <c r="ET1" s="6">
        <f t="shared" si="0"/>
        <v>150</v>
      </c>
      <c r="EU1" s="6">
        <f t="shared" si="0"/>
        <v>151</v>
      </c>
      <c r="EV1" s="6">
        <f t="shared" si="0"/>
        <v>152</v>
      </c>
      <c r="EW1" s="6">
        <f t="shared" si="0"/>
        <v>153</v>
      </c>
      <c r="EX1" s="6">
        <f t="shared" si="0"/>
        <v>154</v>
      </c>
      <c r="EY1" s="6">
        <f t="shared" si="0"/>
        <v>155</v>
      </c>
      <c r="EZ1" s="6">
        <f t="shared" si="0"/>
        <v>156</v>
      </c>
      <c r="FA1" s="6">
        <f t="shared" si="0"/>
        <v>157</v>
      </c>
      <c r="FB1" s="6">
        <f t="shared" si="0"/>
        <v>158</v>
      </c>
      <c r="FC1" s="6">
        <f t="shared" si="0"/>
        <v>159</v>
      </c>
      <c r="FD1" s="6">
        <f t="shared" si="0"/>
        <v>160</v>
      </c>
      <c r="FE1" s="6">
        <f t="shared" si="0"/>
        <v>161</v>
      </c>
      <c r="FF1" s="6">
        <f t="shared" si="0"/>
        <v>162</v>
      </c>
      <c r="FG1" s="6">
        <f t="shared" si="0"/>
        <v>163</v>
      </c>
      <c r="FH1" s="6">
        <f t="shared" si="0"/>
        <v>164</v>
      </c>
      <c r="FI1" s="6">
        <f t="shared" si="0"/>
        <v>165</v>
      </c>
      <c r="FJ1" s="6">
        <f t="shared" si="0"/>
        <v>166</v>
      </c>
      <c r="FK1" s="6">
        <f t="shared" si="0"/>
        <v>167</v>
      </c>
      <c r="FL1" s="6">
        <f t="shared" si="0"/>
        <v>168</v>
      </c>
      <c r="FM1" s="6">
        <f t="shared" si="0"/>
        <v>169</v>
      </c>
      <c r="FN1" s="6">
        <f t="shared" si="0"/>
        <v>170</v>
      </c>
      <c r="FO1" s="6">
        <f t="shared" si="0"/>
        <v>171</v>
      </c>
      <c r="FP1" s="6">
        <f t="shared" si="0"/>
        <v>172</v>
      </c>
      <c r="FQ1" s="6">
        <f t="shared" si="0"/>
        <v>173</v>
      </c>
      <c r="FR1" s="6">
        <f t="shared" si="0"/>
        <v>174</v>
      </c>
      <c r="FS1" s="6">
        <f t="shared" si="0"/>
        <v>175</v>
      </c>
      <c r="FT1" s="6">
        <f t="shared" si="0"/>
        <v>176</v>
      </c>
      <c r="FU1" s="6">
        <f t="shared" si="0"/>
        <v>177</v>
      </c>
      <c r="FV1" s="6">
        <f t="shared" si="0"/>
        <v>178</v>
      </c>
      <c r="FW1" s="6">
        <f t="shared" si="0"/>
        <v>179</v>
      </c>
      <c r="FX1" s="6">
        <f t="shared" si="0"/>
        <v>180</v>
      </c>
      <c r="FY1" s="6">
        <f t="shared" si="0"/>
        <v>181</v>
      </c>
      <c r="FZ1" s="6">
        <f t="shared" si="0"/>
        <v>182</v>
      </c>
      <c r="GA1" s="6">
        <f t="shared" si="0"/>
        <v>183</v>
      </c>
      <c r="GB1" s="6">
        <f t="shared" si="0"/>
        <v>184</v>
      </c>
      <c r="GC1" s="6">
        <f t="shared" si="0"/>
        <v>185</v>
      </c>
      <c r="GD1" s="6">
        <f t="shared" si="0"/>
        <v>186</v>
      </c>
      <c r="GE1" s="6">
        <f t="shared" si="0"/>
        <v>187</v>
      </c>
      <c r="GF1" s="6">
        <f t="shared" si="0"/>
        <v>188</v>
      </c>
      <c r="GG1" s="6">
        <f t="shared" si="0"/>
        <v>189</v>
      </c>
      <c r="GH1" s="6">
        <f t="shared" si="0"/>
        <v>190</v>
      </c>
      <c r="GI1" s="6">
        <f t="shared" si="0"/>
        <v>191</v>
      </c>
      <c r="GJ1" s="6">
        <f t="shared" si="0"/>
        <v>192</v>
      </c>
      <c r="GK1" s="6">
        <f t="shared" si="0"/>
        <v>193</v>
      </c>
      <c r="GL1" s="6">
        <f t="shared" si="0"/>
        <v>194</v>
      </c>
      <c r="GM1" s="6">
        <f t="shared" si="0"/>
        <v>195</v>
      </c>
      <c r="GN1" s="6">
        <f t="shared" si="0"/>
        <v>196</v>
      </c>
      <c r="GO1" s="6">
        <f t="shared" si="0"/>
        <v>197</v>
      </c>
      <c r="GP1" s="6">
        <f t="shared" si="0"/>
        <v>198</v>
      </c>
      <c r="GQ1" s="6">
        <f t="shared" si="0"/>
        <v>199</v>
      </c>
      <c r="GR1" s="6">
        <f t="shared" si="0"/>
        <v>200</v>
      </c>
      <c r="GS1" s="6">
        <f t="shared" si="0"/>
        <v>201</v>
      </c>
      <c r="GT1" s="6">
        <f t="shared" si="0"/>
        <v>202</v>
      </c>
      <c r="GU1" s="6">
        <f t="shared" si="0"/>
        <v>203</v>
      </c>
      <c r="GV1" s="6">
        <f t="shared" si="0"/>
        <v>204</v>
      </c>
      <c r="GW1" s="6">
        <f t="shared" si="0"/>
        <v>205</v>
      </c>
      <c r="GX1" s="7">
        <f t="shared" si="0"/>
        <v>206</v>
      </c>
      <c r="GY1" s="7">
        <f t="shared" si="0"/>
        <v>207</v>
      </c>
      <c r="GZ1" s="7">
        <f t="shared" si="0"/>
        <v>208</v>
      </c>
      <c r="HA1" s="7">
        <f t="shared" si="0"/>
        <v>209</v>
      </c>
      <c r="HB1" s="7">
        <f t="shared" si="0"/>
        <v>210</v>
      </c>
      <c r="HC1" s="7">
        <f t="shared" si="0"/>
        <v>211</v>
      </c>
      <c r="HD1" s="7">
        <f t="shared" si="0"/>
        <v>212</v>
      </c>
      <c r="HE1" s="7">
        <f t="shared" si="0"/>
        <v>213</v>
      </c>
      <c r="HF1" s="7">
        <f t="shared" si="0"/>
        <v>214</v>
      </c>
      <c r="HG1" s="7">
        <f t="shared" si="0"/>
        <v>215</v>
      </c>
      <c r="HH1" s="7">
        <f t="shared" si="0"/>
        <v>216</v>
      </c>
      <c r="HI1" s="7">
        <f t="shared" si="0"/>
        <v>217</v>
      </c>
      <c r="HJ1" s="7">
        <f t="shared" si="0"/>
        <v>218</v>
      </c>
      <c r="HK1" s="7">
        <f t="shared" si="0"/>
        <v>219</v>
      </c>
      <c r="HL1" s="7">
        <f t="shared" si="0"/>
        <v>220</v>
      </c>
      <c r="HM1" s="7">
        <f t="shared" si="0"/>
        <v>221</v>
      </c>
      <c r="HN1" s="7">
        <f t="shared" si="0"/>
        <v>222</v>
      </c>
      <c r="HO1" s="8">
        <f t="shared" si="0"/>
        <v>223</v>
      </c>
    </row>
    <row r="2" spans="1:223" ht="195.95" customHeight="1" x14ac:dyDescent="0.25">
      <c r="A2" s="1" t="s">
        <v>0</v>
      </c>
      <c r="B2" s="2"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4" t="s">
        <v>27</v>
      </c>
      <c r="AC2" s="4" t="s">
        <v>28</v>
      </c>
      <c r="AD2" s="4" t="s">
        <v>29</v>
      </c>
      <c r="AE2" s="4" t="s">
        <v>30</v>
      </c>
      <c r="AF2" s="4" t="s">
        <v>31</v>
      </c>
      <c r="AG2" s="4" t="s">
        <v>32</v>
      </c>
      <c r="AH2" s="4" t="s">
        <v>33</v>
      </c>
      <c r="AI2" s="4" t="s">
        <v>34</v>
      </c>
      <c r="AJ2" s="4" t="s">
        <v>35</v>
      </c>
      <c r="AK2" s="4" t="s">
        <v>36</v>
      </c>
      <c r="AL2" s="4" t="s">
        <v>37</v>
      </c>
      <c r="AM2" s="4" t="s">
        <v>38</v>
      </c>
      <c r="AN2" s="4" t="s">
        <v>39</v>
      </c>
      <c r="AO2" s="4" t="s">
        <v>40</v>
      </c>
      <c r="AP2" s="4" t="s">
        <v>41</v>
      </c>
      <c r="AQ2" s="4" t="s">
        <v>42</v>
      </c>
      <c r="AR2" s="4" t="s">
        <v>43</v>
      </c>
      <c r="AS2" s="4" t="s">
        <v>44</v>
      </c>
      <c r="AT2" s="4" t="s">
        <v>45</v>
      </c>
      <c r="AU2" s="4" t="s">
        <v>46</v>
      </c>
      <c r="AV2" s="4" t="s">
        <v>47</v>
      </c>
      <c r="AW2" s="4" t="s">
        <v>48</v>
      </c>
      <c r="AX2" s="4" t="s">
        <v>49</v>
      </c>
      <c r="AY2" s="4" t="s">
        <v>50</v>
      </c>
      <c r="AZ2" s="4" t="s">
        <v>51</v>
      </c>
      <c r="BA2" s="4" t="s">
        <v>52</v>
      </c>
      <c r="BB2" s="4" t="s">
        <v>53</v>
      </c>
      <c r="BC2" s="4" t="s">
        <v>54</v>
      </c>
      <c r="BD2" s="4" t="s">
        <v>55</v>
      </c>
      <c r="BE2" s="4" t="s">
        <v>56</v>
      </c>
      <c r="BF2" s="4" t="s">
        <v>57</v>
      </c>
      <c r="BG2" s="4" t="s">
        <v>58</v>
      </c>
      <c r="BH2" s="4" t="s">
        <v>59</v>
      </c>
      <c r="BI2" s="4" t="s">
        <v>60</v>
      </c>
      <c r="BJ2" s="4" t="s">
        <v>61</v>
      </c>
      <c r="BK2" s="4" t="s">
        <v>62</v>
      </c>
      <c r="BL2" s="4" t="s">
        <v>63</v>
      </c>
      <c r="BM2" s="4" t="s">
        <v>64</v>
      </c>
      <c r="BN2" s="4" t="s">
        <v>65</v>
      </c>
      <c r="BO2" s="4" t="s">
        <v>66</v>
      </c>
      <c r="BP2" s="4" t="s">
        <v>67</v>
      </c>
      <c r="BQ2" s="4" t="s">
        <v>68</v>
      </c>
      <c r="BR2" s="4" t="s">
        <v>69</v>
      </c>
      <c r="BS2" s="4" t="s">
        <v>70</v>
      </c>
      <c r="BT2" s="4" t="s">
        <v>71</v>
      </c>
      <c r="BU2" s="4" t="s">
        <v>72</v>
      </c>
      <c r="BV2" s="4" t="s">
        <v>73</v>
      </c>
      <c r="BW2" s="4" t="s">
        <v>74</v>
      </c>
      <c r="BX2" s="4" t="s">
        <v>75</v>
      </c>
      <c r="BY2" s="4" t="s">
        <v>76</v>
      </c>
      <c r="BZ2" s="4" t="s">
        <v>77</v>
      </c>
      <c r="CA2" s="4" t="s">
        <v>78</v>
      </c>
      <c r="CB2" s="4" t="s">
        <v>79</v>
      </c>
      <c r="CC2" s="4" t="s">
        <v>80</v>
      </c>
      <c r="CD2" s="4" t="s">
        <v>81</v>
      </c>
      <c r="CE2" s="4" t="s">
        <v>82</v>
      </c>
      <c r="CF2" s="4" t="s">
        <v>83</v>
      </c>
      <c r="CG2" s="4" t="s">
        <v>84</v>
      </c>
      <c r="CH2" s="4" t="s">
        <v>85</v>
      </c>
      <c r="CI2" s="4" t="s">
        <v>86</v>
      </c>
      <c r="CJ2" s="4" t="s">
        <v>87</v>
      </c>
      <c r="CK2" s="4" t="s">
        <v>88</v>
      </c>
      <c r="CL2" s="4" t="s">
        <v>89</v>
      </c>
      <c r="CM2" s="4" t="s">
        <v>90</v>
      </c>
      <c r="CN2" s="5" t="s">
        <v>91</v>
      </c>
      <c r="CO2" s="5" t="s">
        <v>92</v>
      </c>
      <c r="CP2" s="5" t="s">
        <v>93</v>
      </c>
      <c r="CQ2" s="5" t="s">
        <v>94</v>
      </c>
      <c r="CR2" s="5" t="s">
        <v>95</v>
      </c>
      <c r="CS2" s="5" t="s">
        <v>96</v>
      </c>
      <c r="CT2" s="5" t="s">
        <v>97</v>
      </c>
      <c r="CU2" s="5" t="s">
        <v>98</v>
      </c>
      <c r="CV2" s="5" t="s">
        <v>99</v>
      </c>
      <c r="CW2" s="5" t="s">
        <v>100</v>
      </c>
      <c r="CX2" s="5" t="s">
        <v>101</v>
      </c>
      <c r="CY2" s="5" t="s">
        <v>102</v>
      </c>
      <c r="CZ2" s="5" t="s">
        <v>103</v>
      </c>
      <c r="DA2" s="5" t="s">
        <v>104</v>
      </c>
      <c r="DB2" s="4" t="s">
        <v>105</v>
      </c>
      <c r="DC2" s="4" t="s">
        <v>106</v>
      </c>
      <c r="DD2" s="4" t="s">
        <v>107</v>
      </c>
      <c r="DE2" s="4" t="s">
        <v>108</v>
      </c>
      <c r="DF2" s="5" t="s">
        <v>109</v>
      </c>
      <c r="DG2" s="5" t="s">
        <v>110</v>
      </c>
      <c r="DH2" s="5" t="s">
        <v>111</v>
      </c>
      <c r="DI2" s="5" t="s">
        <v>112</v>
      </c>
      <c r="DJ2" s="5" t="s">
        <v>113</v>
      </c>
      <c r="DK2" s="5" t="s">
        <v>114</v>
      </c>
      <c r="DL2" s="6" t="s">
        <v>115</v>
      </c>
      <c r="DM2" s="6" t="s">
        <v>116</v>
      </c>
      <c r="DN2" s="6" t="s">
        <v>117</v>
      </c>
      <c r="DO2" s="6" t="s">
        <v>118</v>
      </c>
      <c r="DP2" s="6" t="s">
        <v>119</v>
      </c>
      <c r="DQ2" s="6" t="s">
        <v>120</v>
      </c>
      <c r="DR2" s="6" t="s">
        <v>121</v>
      </c>
      <c r="DS2" s="6" t="s">
        <v>122</v>
      </c>
      <c r="DT2" s="6" t="s">
        <v>123</v>
      </c>
      <c r="DU2" s="6" t="s">
        <v>124</v>
      </c>
      <c r="DV2" s="6" t="s">
        <v>125</v>
      </c>
      <c r="DW2" s="6" t="s">
        <v>126</v>
      </c>
      <c r="DX2" s="6" t="s">
        <v>127</v>
      </c>
      <c r="DY2" s="6" t="s">
        <v>128</v>
      </c>
      <c r="DZ2" s="6" t="s">
        <v>129</v>
      </c>
      <c r="EA2" s="6" t="s">
        <v>130</v>
      </c>
      <c r="EB2" s="6" t="s">
        <v>131</v>
      </c>
      <c r="EC2" s="6" t="s">
        <v>132</v>
      </c>
      <c r="ED2" s="6" t="s">
        <v>133</v>
      </c>
      <c r="EE2" s="6" t="s">
        <v>134</v>
      </c>
      <c r="EF2" s="6" t="s">
        <v>135</v>
      </c>
      <c r="EG2" s="6" t="s">
        <v>136</v>
      </c>
      <c r="EH2" s="6" t="s">
        <v>137</v>
      </c>
      <c r="EI2" s="6" t="s">
        <v>138</v>
      </c>
      <c r="EJ2" s="6" t="s">
        <v>139</v>
      </c>
      <c r="EK2" s="6" t="s">
        <v>140</v>
      </c>
      <c r="EL2" s="6" t="s">
        <v>141</v>
      </c>
      <c r="EM2" s="6" t="s">
        <v>142</v>
      </c>
      <c r="EN2" s="6" t="s">
        <v>143</v>
      </c>
      <c r="EO2" s="6" t="s">
        <v>144</v>
      </c>
      <c r="EP2" s="6" t="s">
        <v>145</v>
      </c>
      <c r="EQ2" s="6" t="s">
        <v>146</v>
      </c>
      <c r="ER2" s="6" t="s">
        <v>147</v>
      </c>
      <c r="ES2" s="6" t="s">
        <v>148</v>
      </c>
      <c r="ET2" s="6" t="s">
        <v>149</v>
      </c>
      <c r="EU2" s="6" t="s">
        <v>150</v>
      </c>
      <c r="EV2" s="6" t="s">
        <v>151</v>
      </c>
      <c r="EW2" s="6" t="s">
        <v>152</v>
      </c>
      <c r="EX2" s="6" t="s">
        <v>153</v>
      </c>
      <c r="EY2" s="6" t="s">
        <v>154</v>
      </c>
      <c r="EZ2" s="6" t="s">
        <v>155</v>
      </c>
      <c r="FA2" s="6" t="s">
        <v>156</v>
      </c>
      <c r="FB2" s="6" t="s">
        <v>157</v>
      </c>
      <c r="FC2" s="6" t="s">
        <v>158</v>
      </c>
      <c r="FD2" s="6" t="s">
        <v>159</v>
      </c>
      <c r="FE2" s="6" t="s">
        <v>160</v>
      </c>
      <c r="FF2" s="6" t="s">
        <v>161</v>
      </c>
      <c r="FG2" s="6" t="s">
        <v>162</v>
      </c>
      <c r="FH2" s="6" t="s">
        <v>163</v>
      </c>
      <c r="FI2" s="6" t="s">
        <v>164</v>
      </c>
      <c r="FJ2" s="6" t="s">
        <v>165</v>
      </c>
      <c r="FK2" s="6" t="s">
        <v>166</v>
      </c>
      <c r="FL2" s="6" t="s">
        <v>167</v>
      </c>
      <c r="FM2" s="6" t="s">
        <v>168</v>
      </c>
      <c r="FN2" s="6" t="s">
        <v>169</v>
      </c>
      <c r="FO2" s="6" t="s">
        <v>170</v>
      </c>
      <c r="FP2" s="6" t="s">
        <v>171</v>
      </c>
      <c r="FQ2" s="6" t="s">
        <v>172</v>
      </c>
      <c r="FR2" s="6" t="s">
        <v>173</v>
      </c>
      <c r="FS2" s="6" t="s">
        <v>174</v>
      </c>
      <c r="FT2" s="6" t="s">
        <v>175</v>
      </c>
      <c r="FU2" s="6" t="s">
        <v>176</v>
      </c>
      <c r="FV2" s="6" t="s">
        <v>177</v>
      </c>
      <c r="FW2" s="6" t="s">
        <v>178</v>
      </c>
      <c r="FX2" s="6" t="s">
        <v>179</v>
      </c>
      <c r="FY2" s="6" t="s">
        <v>180</v>
      </c>
      <c r="FZ2" s="6" t="s">
        <v>181</v>
      </c>
      <c r="GA2" s="6" t="s">
        <v>182</v>
      </c>
      <c r="GB2" s="6" t="s">
        <v>183</v>
      </c>
      <c r="GC2" s="6" t="s">
        <v>184</v>
      </c>
      <c r="GD2" s="6" t="s">
        <v>185</v>
      </c>
      <c r="GE2" s="6" t="s">
        <v>186</v>
      </c>
      <c r="GF2" s="6" t="s">
        <v>187</v>
      </c>
      <c r="GG2" s="6" t="s">
        <v>188</v>
      </c>
      <c r="GH2" s="6" t="s">
        <v>189</v>
      </c>
      <c r="GI2" s="6" t="s">
        <v>190</v>
      </c>
      <c r="GJ2" s="6" t="s">
        <v>191</v>
      </c>
      <c r="GK2" s="6" t="s">
        <v>192</v>
      </c>
      <c r="GL2" s="6" t="s">
        <v>193</v>
      </c>
      <c r="GM2" s="6" t="s">
        <v>194</v>
      </c>
      <c r="GN2" s="6" t="s">
        <v>195</v>
      </c>
      <c r="GO2" s="6" t="s">
        <v>196</v>
      </c>
      <c r="GP2" s="6" t="s">
        <v>197</v>
      </c>
      <c r="GQ2" s="6" t="s">
        <v>198</v>
      </c>
      <c r="GR2" s="6" t="s">
        <v>199</v>
      </c>
      <c r="GS2" s="6" t="s">
        <v>200</v>
      </c>
      <c r="GT2" s="6" t="s">
        <v>201</v>
      </c>
      <c r="GU2" s="6" t="s">
        <v>202</v>
      </c>
      <c r="GV2" s="6" t="s">
        <v>203</v>
      </c>
      <c r="GW2" s="6" t="s">
        <v>204</v>
      </c>
      <c r="GX2" s="7" t="s">
        <v>205</v>
      </c>
      <c r="GY2" s="7" t="s">
        <v>206</v>
      </c>
      <c r="GZ2" s="7" t="s">
        <v>207</v>
      </c>
      <c r="HA2" s="7" t="s">
        <v>208</v>
      </c>
      <c r="HB2" s="7" t="s">
        <v>209</v>
      </c>
      <c r="HC2" s="7" t="s">
        <v>210</v>
      </c>
      <c r="HD2" s="7" t="s">
        <v>211</v>
      </c>
      <c r="HE2" s="7" t="s">
        <v>212</v>
      </c>
      <c r="HF2" s="7" t="s">
        <v>213</v>
      </c>
      <c r="HG2" s="7" t="s">
        <v>214</v>
      </c>
      <c r="HH2" s="7" t="s">
        <v>215</v>
      </c>
      <c r="HI2" s="7" t="s">
        <v>216</v>
      </c>
      <c r="HJ2" s="7" t="s">
        <v>217</v>
      </c>
      <c r="HK2" s="7" t="s">
        <v>218</v>
      </c>
      <c r="HL2" s="7" t="s">
        <v>219</v>
      </c>
      <c r="HM2" s="7" t="s">
        <v>220</v>
      </c>
      <c r="HN2" s="7" t="s">
        <v>221</v>
      </c>
      <c r="HO2" s="8" t="s">
        <v>222</v>
      </c>
    </row>
    <row r="3" spans="1:223" ht="44.1" customHeight="1" x14ac:dyDescent="0.25">
      <c r="A3">
        <v>1</v>
      </c>
      <c r="B3" s="9">
        <v>45841.469733796293</v>
      </c>
      <c r="C3" s="10" t="s">
        <v>223</v>
      </c>
      <c r="D3" s="11">
        <v>27772</v>
      </c>
      <c r="E3" s="10" t="s">
        <v>224</v>
      </c>
      <c r="F3" s="10" t="s">
        <v>225</v>
      </c>
      <c r="G3" s="10" t="s">
        <v>226</v>
      </c>
      <c r="H3" s="10" t="s">
        <v>227</v>
      </c>
      <c r="I3" s="10" t="s">
        <v>228</v>
      </c>
      <c r="J3" s="10" t="s">
        <v>229</v>
      </c>
      <c r="K3" s="10" t="s">
        <v>230</v>
      </c>
      <c r="L3" s="10" t="s">
        <v>230</v>
      </c>
      <c r="M3" s="10" t="s">
        <v>231</v>
      </c>
      <c r="N3" s="10" t="s">
        <v>232</v>
      </c>
      <c r="O3" s="10" t="s">
        <v>233</v>
      </c>
      <c r="P3" s="12">
        <v>1</v>
      </c>
      <c r="Q3" s="10" t="s">
        <v>234</v>
      </c>
      <c r="R3" s="10" t="s">
        <v>235</v>
      </c>
      <c r="S3" s="10" t="s">
        <v>236</v>
      </c>
      <c r="T3" s="10" t="s">
        <v>237</v>
      </c>
      <c r="U3" s="10" t="s">
        <v>238</v>
      </c>
      <c r="V3" s="10" t="s">
        <v>238</v>
      </c>
      <c r="W3" s="10" t="s">
        <v>238</v>
      </c>
      <c r="X3" s="10" t="s">
        <v>239</v>
      </c>
      <c r="Y3" s="10" t="s">
        <v>240</v>
      </c>
      <c r="Z3" s="10" t="s">
        <v>241</v>
      </c>
      <c r="AA3" s="10" t="s">
        <v>242</v>
      </c>
      <c r="AB3" s="10" t="s">
        <v>243</v>
      </c>
      <c r="AC3" s="10" t="s">
        <v>244</v>
      </c>
      <c r="AD3" s="10" t="s">
        <v>245</v>
      </c>
      <c r="AE3" s="10" t="s">
        <v>246</v>
      </c>
      <c r="AF3" s="10" t="s">
        <v>247</v>
      </c>
      <c r="AG3" s="10" t="s">
        <v>248</v>
      </c>
      <c r="AH3" s="10" t="s">
        <v>249</v>
      </c>
      <c r="AI3" s="10" t="s">
        <v>250</v>
      </c>
      <c r="AJ3" s="10" t="s">
        <v>244</v>
      </c>
      <c r="AK3" s="10" t="s">
        <v>251</v>
      </c>
      <c r="AL3" s="10" t="s">
        <v>252</v>
      </c>
      <c r="AM3" s="10" t="s">
        <v>253</v>
      </c>
      <c r="AN3" s="10" t="s">
        <v>254</v>
      </c>
      <c r="AO3" s="10" t="s">
        <v>255</v>
      </c>
      <c r="AP3" s="10" t="s">
        <v>256</v>
      </c>
      <c r="AQ3" s="13"/>
      <c r="AR3" s="13"/>
      <c r="AS3" s="13"/>
      <c r="AT3" s="13"/>
      <c r="AU3" s="10" t="s">
        <v>256</v>
      </c>
      <c r="AV3" s="13"/>
      <c r="AW3" s="13"/>
      <c r="AX3" s="10" t="s">
        <v>256</v>
      </c>
      <c r="AY3" s="13"/>
      <c r="AZ3" s="13"/>
      <c r="BA3" s="13"/>
      <c r="BB3" s="13"/>
      <c r="BC3" s="10" t="s">
        <v>256</v>
      </c>
      <c r="BD3" s="10" t="s">
        <v>244</v>
      </c>
      <c r="BE3" s="10" t="s">
        <v>244</v>
      </c>
      <c r="BF3" s="10" t="s">
        <v>256</v>
      </c>
      <c r="BG3" s="10" t="s">
        <v>256</v>
      </c>
      <c r="BH3" s="10" t="s">
        <v>256</v>
      </c>
      <c r="BI3" s="10" t="s">
        <v>256</v>
      </c>
      <c r="BJ3" s="10" t="s">
        <v>256</v>
      </c>
      <c r="BK3" s="10" t="s">
        <v>256</v>
      </c>
      <c r="BL3" s="13"/>
      <c r="BM3" s="13"/>
      <c r="BN3" s="13"/>
      <c r="BO3" s="13"/>
      <c r="BP3" s="13"/>
      <c r="BQ3" s="13"/>
      <c r="BR3" s="13"/>
      <c r="BS3" s="10" t="s">
        <v>257</v>
      </c>
      <c r="BT3" s="10" t="s">
        <v>258</v>
      </c>
      <c r="BU3" s="10" t="s">
        <v>259</v>
      </c>
      <c r="BV3" s="10" t="s">
        <v>246</v>
      </c>
      <c r="BW3" s="10" t="s">
        <v>260</v>
      </c>
      <c r="BX3" s="10" t="s">
        <v>244</v>
      </c>
      <c r="BY3" s="10" t="s">
        <v>255</v>
      </c>
      <c r="BZ3" s="10" t="s">
        <v>255</v>
      </c>
      <c r="CA3" s="10" t="s">
        <v>261</v>
      </c>
      <c r="CB3" s="10" t="s">
        <v>261</v>
      </c>
      <c r="CC3" s="10" t="s">
        <v>261</v>
      </c>
      <c r="CD3" s="10" t="s">
        <v>256</v>
      </c>
      <c r="CE3" s="10" t="s">
        <v>262</v>
      </c>
      <c r="CF3" s="10" t="s">
        <v>256</v>
      </c>
      <c r="CG3" s="12">
        <v>1</v>
      </c>
      <c r="CH3" s="10" t="s">
        <v>244</v>
      </c>
      <c r="CI3" s="10" t="s">
        <v>256</v>
      </c>
      <c r="CJ3" s="10" t="s">
        <v>263</v>
      </c>
      <c r="CK3" s="10" t="s">
        <v>264</v>
      </c>
      <c r="CL3" s="10" t="s">
        <v>265</v>
      </c>
      <c r="CM3" s="10" t="s">
        <v>266</v>
      </c>
      <c r="CN3" s="10" t="s">
        <v>256</v>
      </c>
      <c r="CO3" s="10" t="s">
        <v>267</v>
      </c>
      <c r="CP3" s="10" t="s">
        <v>256</v>
      </c>
      <c r="CQ3" s="10" t="s">
        <v>236</v>
      </c>
      <c r="CR3" s="10" t="s">
        <v>268</v>
      </c>
      <c r="CS3" s="10" t="s">
        <v>269</v>
      </c>
      <c r="CT3" s="10" t="s">
        <v>268</v>
      </c>
      <c r="CU3" s="10" t="s">
        <v>270</v>
      </c>
      <c r="CV3" s="10" t="s">
        <v>271</v>
      </c>
      <c r="CW3" s="10" t="s">
        <v>272</v>
      </c>
      <c r="CX3" s="10" t="s">
        <v>256</v>
      </c>
      <c r="CY3" s="10" t="s">
        <v>236</v>
      </c>
      <c r="CZ3" s="10" t="s">
        <v>256</v>
      </c>
      <c r="DA3" s="10" t="s">
        <v>256</v>
      </c>
      <c r="DB3" s="10" t="s">
        <v>256</v>
      </c>
      <c r="DC3" s="10" t="s">
        <v>256</v>
      </c>
      <c r="DD3" s="10" t="s">
        <v>256</v>
      </c>
      <c r="DE3" s="10" t="s">
        <v>256</v>
      </c>
      <c r="DF3" s="10" t="s">
        <v>244</v>
      </c>
      <c r="DG3" s="10" t="s">
        <v>273</v>
      </c>
      <c r="DH3" s="10" t="s">
        <v>274</v>
      </c>
      <c r="DI3" s="10" t="s">
        <v>275</v>
      </c>
      <c r="DJ3" s="10" t="s">
        <v>256</v>
      </c>
      <c r="DK3" s="10" t="s">
        <v>256</v>
      </c>
      <c r="DL3" s="10" t="s">
        <v>276</v>
      </c>
      <c r="DM3" s="10" t="s">
        <v>276</v>
      </c>
      <c r="DN3" s="10" t="s">
        <v>276</v>
      </c>
      <c r="DO3" s="10" t="s">
        <v>276</v>
      </c>
      <c r="DP3" s="10" t="s">
        <v>276</v>
      </c>
      <c r="DQ3" s="10" t="s">
        <v>276</v>
      </c>
      <c r="DR3" s="10" t="s">
        <v>276</v>
      </c>
      <c r="DS3" s="10" t="s">
        <v>276</v>
      </c>
      <c r="DT3" s="10" t="s">
        <v>276</v>
      </c>
      <c r="DU3" s="10" t="s">
        <v>276</v>
      </c>
      <c r="DV3" s="10" t="s">
        <v>276</v>
      </c>
      <c r="DW3" s="10" t="s">
        <v>276</v>
      </c>
      <c r="DX3" s="10" t="s">
        <v>255</v>
      </c>
      <c r="DY3" s="10" t="s">
        <v>255</v>
      </c>
      <c r="DZ3" s="10" t="s">
        <v>255</v>
      </c>
      <c r="EA3" s="10" t="s">
        <v>255</v>
      </c>
      <c r="EB3" s="10" t="s">
        <v>255</v>
      </c>
      <c r="EC3" s="10" t="s">
        <v>255</v>
      </c>
      <c r="ED3" s="10" t="s">
        <v>255</v>
      </c>
      <c r="EE3" s="10" t="s">
        <v>255</v>
      </c>
      <c r="EF3" s="10" t="s">
        <v>255</v>
      </c>
      <c r="EG3" s="10" t="s">
        <v>255</v>
      </c>
      <c r="EH3" s="10" t="s">
        <v>255</v>
      </c>
      <c r="EI3" s="10" t="s">
        <v>255</v>
      </c>
      <c r="EJ3" s="10" t="s">
        <v>255</v>
      </c>
      <c r="EK3" s="10" t="s">
        <v>255</v>
      </c>
      <c r="EL3" s="10" t="s">
        <v>255</v>
      </c>
      <c r="EM3" s="10" t="s">
        <v>255</v>
      </c>
      <c r="EN3" s="10" t="s">
        <v>277</v>
      </c>
      <c r="EO3" s="10" t="s">
        <v>277</v>
      </c>
      <c r="EP3" s="10" t="s">
        <v>277</v>
      </c>
      <c r="EQ3" s="10" t="s">
        <v>255</v>
      </c>
      <c r="ER3" s="10" t="s">
        <v>277</v>
      </c>
      <c r="ES3" s="10" t="s">
        <v>255</v>
      </c>
      <c r="ET3" s="10" t="s">
        <v>277</v>
      </c>
      <c r="EU3" s="10" t="s">
        <v>277</v>
      </c>
      <c r="EV3" s="10" t="s">
        <v>277</v>
      </c>
      <c r="EW3" s="10" t="s">
        <v>277</v>
      </c>
      <c r="EX3" s="10" t="s">
        <v>255</v>
      </c>
      <c r="EY3" s="10" t="s">
        <v>255</v>
      </c>
      <c r="EZ3" s="10" t="s">
        <v>255</v>
      </c>
      <c r="FA3" s="10" t="s">
        <v>255</v>
      </c>
      <c r="FB3" s="10" t="s">
        <v>256</v>
      </c>
      <c r="FC3" s="10" t="s">
        <v>255</v>
      </c>
      <c r="FD3" s="10" t="s">
        <v>256</v>
      </c>
      <c r="FE3" s="10" t="s">
        <v>255</v>
      </c>
      <c r="FF3" s="10" t="s">
        <v>255</v>
      </c>
      <c r="FG3" s="10" t="s">
        <v>255</v>
      </c>
      <c r="FH3" s="10" t="s">
        <v>255</v>
      </c>
      <c r="FI3" s="10" t="s">
        <v>256</v>
      </c>
      <c r="FJ3" s="10" t="s">
        <v>277</v>
      </c>
      <c r="FK3" s="10" t="s">
        <v>278</v>
      </c>
      <c r="FL3" s="10" t="s">
        <v>256</v>
      </c>
      <c r="FM3" s="10" t="s">
        <v>278</v>
      </c>
      <c r="FN3" s="10" t="s">
        <v>256</v>
      </c>
      <c r="FO3" s="10" t="s">
        <v>244</v>
      </c>
      <c r="FP3" s="10" t="s">
        <v>279</v>
      </c>
      <c r="FQ3" s="10" t="s">
        <v>277</v>
      </c>
      <c r="FR3" s="10" t="s">
        <v>278</v>
      </c>
      <c r="FS3" s="10" t="s">
        <v>256</v>
      </c>
      <c r="FT3" s="10" t="s">
        <v>280</v>
      </c>
      <c r="FU3" s="10" t="s">
        <v>281</v>
      </c>
      <c r="FV3" s="10" t="s">
        <v>282</v>
      </c>
      <c r="FW3" s="10" t="s">
        <v>283</v>
      </c>
      <c r="FX3" s="10" t="s">
        <v>255</v>
      </c>
      <c r="FY3" s="10" t="s">
        <v>255</v>
      </c>
      <c r="FZ3" s="10" t="s">
        <v>255</v>
      </c>
      <c r="GA3" s="10" t="s">
        <v>255</v>
      </c>
      <c r="GB3" s="10" t="s">
        <v>255</v>
      </c>
      <c r="GC3" s="10" t="s">
        <v>255</v>
      </c>
      <c r="GD3" s="10" t="s">
        <v>255</v>
      </c>
      <c r="GE3" s="10" t="s">
        <v>255</v>
      </c>
      <c r="GF3" s="10" t="s">
        <v>255</v>
      </c>
      <c r="GG3" s="10" t="s">
        <v>255</v>
      </c>
      <c r="GH3" s="10" t="s">
        <v>255</v>
      </c>
      <c r="GI3" s="10" t="s">
        <v>281</v>
      </c>
      <c r="GJ3" s="10" t="s">
        <v>281</v>
      </c>
      <c r="GK3" s="10" t="s">
        <v>282</v>
      </c>
      <c r="GL3" s="10" t="s">
        <v>281</v>
      </c>
      <c r="GM3" s="10" t="s">
        <v>281</v>
      </c>
      <c r="GN3" s="10" t="s">
        <v>281</v>
      </c>
      <c r="GO3" s="10" t="s">
        <v>281</v>
      </c>
      <c r="GP3" s="10" t="s">
        <v>281</v>
      </c>
      <c r="GQ3" s="10" t="s">
        <v>284</v>
      </c>
      <c r="GR3" s="10" t="s">
        <v>285</v>
      </c>
      <c r="GS3" s="10" t="s">
        <v>281</v>
      </c>
      <c r="GT3" s="10" t="s">
        <v>284</v>
      </c>
      <c r="GU3" s="10" t="s">
        <v>286</v>
      </c>
      <c r="GV3" s="10" t="s">
        <v>281</v>
      </c>
      <c r="GW3" s="10" t="s">
        <v>287</v>
      </c>
      <c r="GX3" s="10" t="s">
        <v>256</v>
      </c>
      <c r="GY3" s="10" t="s">
        <v>256</v>
      </c>
      <c r="GZ3" s="10" t="s">
        <v>256</v>
      </c>
      <c r="HA3" s="10" t="s">
        <v>256</v>
      </c>
      <c r="HB3" s="10" t="s">
        <v>256</v>
      </c>
      <c r="HC3" s="10" t="s">
        <v>256</v>
      </c>
      <c r="HD3" s="10" t="s">
        <v>256</v>
      </c>
      <c r="HE3" s="10" t="s">
        <v>256</v>
      </c>
      <c r="HF3" s="10" t="s">
        <v>256</v>
      </c>
      <c r="HG3" s="10" t="s">
        <v>244</v>
      </c>
      <c r="HH3" s="10" t="s">
        <v>244</v>
      </c>
      <c r="HI3" s="10" t="s">
        <v>244</v>
      </c>
      <c r="HJ3" s="10" t="s">
        <v>244</v>
      </c>
      <c r="HK3" s="10" t="s">
        <v>244</v>
      </c>
      <c r="HL3" s="10" t="s">
        <v>244</v>
      </c>
      <c r="HM3" s="10" t="s">
        <v>244</v>
      </c>
      <c r="HN3" s="10" t="s">
        <v>256</v>
      </c>
      <c r="HO3" s="14" t="s">
        <v>256</v>
      </c>
    </row>
    <row r="4" spans="1:223" ht="52.9" customHeight="1" x14ac:dyDescent="0.25">
      <c r="A4">
        <v>2</v>
      </c>
      <c r="B4" s="15">
        <v>45844.40724537037</v>
      </c>
      <c r="C4" s="16" t="s">
        <v>288</v>
      </c>
      <c r="D4" s="17">
        <v>31842</v>
      </c>
      <c r="E4" s="16" t="s">
        <v>289</v>
      </c>
      <c r="F4" s="16" t="s">
        <v>290</v>
      </c>
      <c r="G4" s="16" t="s">
        <v>291</v>
      </c>
      <c r="H4" s="16" t="s">
        <v>292</v>
      </c>
      <c r="I4" s="16" t="s">
        <v>228</v>
      </c>
      <c r="J4" s="16" t="s">
        <v>229</v>
      </c>
      <c r="K4" s="16" t="s">
        <v>293</v>
      </c>
      <c r="L4" s="16" t="s">
        <v>294</v>
      </c>
      <c r="M4" s="16" t="s">
        <v>231</v>
      </c>
      <c r="N4" s="16" t="s">
        <v>295</v>
      </c>
      <c r="O4" s="16" t="s">
        <v>233</v>
      </c>
      <c r="P4" s="18">
        <v>1</v>
      </c>
      <c r="Q4" s="16" t="s">
        <v>234</v>
      </c>
      <c r="R4" s="16" t="s">
        <v>296</v>
      </c>
      <c r="S4" s="16" t="s">
        <v>236</v>
      </c>
      <c r="T4" s="16" t="s">
        <v>297</v>
      </c>
      <c r="U4" s="16" t="s">
        <v>298</v>
      </c>
      <c r="V4" s="16" t="s">
        <v>239</v>
      </c>
      <c r="W4" s="16" t="s">
        <v>238</v>
      </c>
      <c r="X4" s="16" t="s">
        <v>239</v>
      </c>
      <c r="Y4" s="16" t="s">
        <v>240</v>
      </c>
      <c r="Z4" s="16" t="s">
        <v>241</v>
      </c>
      <c r="AA4" s="16" t="s">
        <v>299</v>
      </c>
      <c r="AB4" s="16" t="s">
        <v>243</v>
      </c>
      <c r="AC4" s="16" t="s">
        <v>244</v>
      </c>
      <c r="AD4" s="16" t="s">
        <v>245</v>
      </c>
      <c r="AE4" s="16" t="s">
        <v>246</v>
      </c>
      <c r="AF4" s="16" t="s">
        <v>247</v>
      </c>
      <c r="AG4" s="16" t="s">
        <v>300</v>
      </c>
      <c r="AH4" s="16" t="s">
        <v>301</v>
      </c>
      <c r="AI4" s="16" t="s">
        <v>302</v>
      </c>
      <c r="AJ4" s="16" t="s">
        <v>244</v>
      </c>
      <c r="AK4" s="16" t="s">
        <v>303</v>
      </c>
      <c r="AL4" s="16" t="s">
        <v>304</v>
      </c>
      <c r="AM4" s="16" t="s">
        <v>305</v>
      </c>
      <c r="AN4" s="16" t="s">
        <v>254</v>
      </c>
      <c r="AO4" s="16" t="s">
        <v>255</v>
      </c>
      <c r="AP4" s="16" t="s">
        <v>256</v>
      </c>
      <c r="AQ4" s="19"/>
      <c r="AR4" s="19"/>
      <c r="AS4" s="19"/>
      <c r="AT4" s="19"/>
      <c r="AU4" s="16" t="s">
        <v>256</v>
      </c>
      <c r="AV4" s="19"/>
      <c r="AW4" s="19"/>
      <c r="AX4" s="16" t="s">
        <v>256</v>
      </c>
      <c r="AY4" s="19"/>
      <c r="AZ4" s="19"/>
      <c r="BA4" s="19"/>
      <c r="BB4" s="19"/>
      <c r="BC4" s="16" t="s">
        <v>256</v>
      </c>
      <c r="BD4" s="16" t="s">
        <v>244</v>
      </c>
      <c r="BE4" s="16" t="s">
        <v>244</v>
      </c>
      <c r="BF4" s="16" t="s">
        <v>244</v>
      </c>
      <c r="BG4" s="16" t="s">
        <v>256</v>
      </c>
      <c r="BH4" s="16" t="s">
        <v>244</v>
      </c>
      <c r="BI4" s="16" t="s">
        <v>256</v>
      </c>
      <c r="BJ4" s="16" t="s">
        <v>256</v>
      </c>
      <c r="BK4" s="16" t="s">
        <v>256</v>
      </c>
      <c r="BL4" s="19"/>
      <c r="BM4" s="19"/>
      <c r="BN4" s="19"/>
      <c r="BO4" s="19"/>
      <c r="BP4" s="19"/>
      <c r="BQ4" s="19"/>
      <c r="BR4" s="19"/>
      <c r="BS4" s="16" t="s">
        <v>257</v>
      </c>
      <c r="BT4" s="16" t="s">
        <v>306</v>
      </c>
      <c r="BU4" s="16" t="s">
        <v>307</v>
      </c>
      <c r="BV4" s="16" t="s">
        <v>246</v>
      </c>
      <c r="BW4" s="16" t="s">
        <v>308</v>
      </c>
      <c r="BX4" s="16" t="s">
        <v>244</v>
      </c>
      <c r="BY4" s="16" t="s">
        <v>309</v>
      </c>
      <c r="BZ4" s="16" t="s">
        <v>310</v>
      </c>
      <c r="CA4" s="16" t="s">
        <v>261</v>
      </c>
      <c r="CB4" s="16" t="s">
        <v>261</v>
      </c>
      <c r="CC4" s="16" t="s">
        <v>261</v>
      </c>
      <c r="CD4" s="16" t="s">
        <v>256</v>
      </c>
      <c r="CE4" s="16" t="s">
        <v>262</v>
      </c>
      <c r="CF4" s="16" t="s">
        <v>244</v>
      </c>
      <c r="CG4" s="16" t="s">
        <v>311</v>
      </c>
      <c r="CH4" s="16" t="s">
        <v>244</v>
      </c>
      <c r="CI4" s="16" t="s">
        <v>256</v>
      </c>
      <c r="CJ4" s="16" t="s">
        <v>312</v>
      </c>
      <c r="CK4" s="16" t="s">
        <v>313</v>
      </c>
      <c r="CL4" s="16" t="s">
        <v>265</v>
      </c>
      <c r="CM4" s="16" t="s">
        <v>314</v>
      </c>
      <c r="CN4" s="16" t="s">
        <v>256</v>
      </c>
      <c r="CO4" s="19"/>
      <c r="CP4" s="16" t="s">
        <v>244</v>
      </c>
      <c r="CQ4" s="16" t="s">
        <v>315</v>
      </c>
      <c r="CR4" s="16" t="s">
        <v>268</v>
      </c>
      <c r="CS4" s="16" t="s">
        <v>316</v>
      </c>
      <c r="CT4" s="16" t="s">
        <v>268</v>
      </c>
      <c r="CU4" s="16" t="s">
        <v>317</v>
      </c>
      <c r="CV4" s="16" t="s">
        <v>318</v>
      </c>
      <c r="CW4" s="16" t="s">
        <v>272</v>
      </c>
      <c r="CX4" s="19"/>
      <c r="CY4" s="16" t="s">
        <v>236</v>
      </c>
      <c r="CZ4" s="16" t="s">
        <v>319</v>
      </c>
      <c r="DA4" s="16" t="s">
        <v>320</v>
      </c>
      <c r="DB4" s="16" t="s">
        <v>256</v>
      </c>
      <c r="DC4" s="16" t="s">
        <v>321</v>
      </c>
      <c r="DD4" s="16" t="s">
        <v>268</v>
      </c>
      <c r="DE4" s="16" t="s">
        <v>322</v>
      </c>
      <c r="DF4" s="16" t="s">
        <v>256</v>
      </c>
      <c r="DG4" s="16" t="s">
        <v>323</v>
      </c>
      <c r="DH4" s="16" t="s">
        <v>255</v>
      </c>
      <c r="DI4" s="16" t="s">
        <v>236</v>
      </c>
      <c r="DJ4" s="16" t="s">
        <v>256</v>
      </c>
      <c r="DK4" s="16" t="s">
        <v>256</v>
      </c>
      <c r="DL4" s="16" t="s">
        <v>277</v>
      </c>
      <c r="DM4" s="16" t="s">
        <v>255</v>
      </c>
      <c r="DN4" s="16" t="s">
        <v>277</v>
      </c>
      <c r="DO4" s="16" t="s">
        <v>277</v>
      </c>
      <c r="DP4" s="16" t="s">
        <v>255</v>
      </c>
      <c r="DQ4" s="16" t="s">
        <v>255</v>
      </c>
      <c r="DR4" s="16" t="s">
        <v>255</v>
      </c>
      <c r="DS4" s="16" t="s">
        <v>277</v>
      </c>
      <c r="DT4" s="16" t="s">
        <v>277</v>
      </c>
      <c r="DU4" s="16" t="s">
        <v>255</v>
      </c>
      <c r="DV4" s="16" t="s">
        <v>255</v>
      </c>
      <c r="DW4" s="16" t="s">
        <v>255</v>
      </c>
      <c r="DX4" s="16" t="s">
        <v>277</v>
      </c>
      <c r="DY4" s="16" t="s">
        <v>255</v>
      </c>
      <c r="DZ4" s="16" t="s">
        <v>255</v>
      </c>
      <c r="EA4" s="16" t="s">
        <v>255</v>
      </c>
      <c r="EB4" s="16" t="s">
        <v>255</v>
      </c>
      <c r="EC4" s="16" t="s">
        <v>255</v>
      </c>
      <c r="ED4" s="16" t="s">
        <v>255</v>
      </c>
      <c r="EE4" s="16" t="s">
        <v>255</v>
      </c>
      <c r="EF4" s="16" t="s">
        <v>255</v>
      </c>
      <c r="EG4" s="16" t="s">
        <v>255</v>
      </c>
      <c r="EH4" s="16" t="s">
        <v>255</v>
      </c>
      <c r="EI4" s="16" t="s">
        <v>277</v>
      </c>
      <c r="EJ4" s="16" t="s">
        <v>277</v>
      </c>
      <c r="EK4" s="16" t="s">
        <v>255</v>
      </c>
      <c r="EL4" s="16" t="s">
        <v>255</v>
      </c>
      <c r="EM4" s="16" t="s">
        <v>255</v>
      </c>
      <c r="EN4" s="16" t="s">
        <v>255</v>
      </c>
      <c r="EO4" s="16" t="s">
        <v>255</v>
      </c>
      <c r="EP4" s="16" t="s">
        <v>277</v>
      </c>
      <c r="EQ4" s="16" t="s">
        <v>255</v>
      </c>
      <c r="ER4" s="16" t="s">
        <v>277</v>
      </c>
      <c r="ES4" s="16" t="s">
        <v>255</v>
      </c>
      <c r="ET4" s="16" t="s">
        <v>277</v>
      </c>
      <c r="EU4" s="16" t="s">
        <v>255</v>
      </c>
      <c r="EV4" s="16" t="s">
        <v>277</v>
      </c>
      <c r="EW4" s="16" t="s">
        <v>255</v>
      </c>
      <c r="EX4" s="16" t="s">
        <v>255</v>
      </c>
      <c r="EY4" s="16" t="s">
        <v>255</v>
      </c>
      <c r="EZ4" s="16" t="s">
        <v>277</v>
      </c>
      <c r="FA4" s="16" t="s">
        <v>279</v>
      </c>
      <c r="FB4" s="16" t="s">
        <v>256</v>
      </c>
      <c r="FC4" s="16" t="s">
        <v>255</v>
      </c>
      <c r="FD4" s="16" t="s">
        <v>268</v>
      </c>
      <c r="FE4" s="16" t="s">
        <v>277</v>
      </c>
      <c r="FF4" s="16" t="s">
        <v>279</v>
      </c>
      <c r="FG4" s="16" t="s">
        <v>256</v>
      </c>
      <c r="FH4" s="16" t="s">
        <v>255</v>
      </c>
      <c r="FI4" s="16" t="s">
        <v>268</v>
      </c>
      <c r="FJ4" s="16" t="s">
        <v>256</v>
      </c>
      <c r="FK4" s="16" t="s">
        <v>255</v>
      </c>
      <c r="FL4" s="16" t="s">
        <v>256</v>
      </c>
      <c r="FM4" s="16" t="s">
        <v>255</v>
      </c>
      <c r="FN4" s="16" t="s">
        <v>256</v>
      </c>
      <c r="FO4" s="16" t="s">
        <v>244</v>
      </c>
      <c r="FP4" s="16" t="s">
        <v>274</v>
      </c>
      <c r="FQ4" s="16" t="s">
        <v>256</v>
      </c>
      <c r="FR4" s="16" t="s">
        <v>255</v>
      </c>
      <c r="FS4" s="16" t="s">
        <v>268</v>
      </c>
      <c r="FT4" s="16" t="s">
        <v>280</v>
      </c>
      <c r="FU4" s="16" t="s">
        <v>283</v>
      </c>
      <c r="FV4" s="16" t="s">
        <v>281</v>
      </c>
      <c r="FW4" s="16" t="s">
        <v>281</v>
      </c>
      <c r="FX4" s="16" t="s">
        <v>255</v>
      </c>
      <c r="FY4" s="16" t="s">
        <v>255</v>
      </c>
      <c r="FZ4" s="16" t="s">
        <v>282</v>
      </c>
      <c r="GA4" s="16" t="s">
        <v>281</v>
      </c>
      <c r="GB4" s="16" t="s">
        <v>281</v>
      </c>
      <c r="GC4" s="16" t="s">
        <v>281</v>
      </c>
      <c r="GD4" s="16" t="s">
        <v>255</v>
      </c>
      <c r="GE4" s="16" t="s">
        <v>255</v>
      </c>
      <c r="GF4" s="16" t="s">
        <v>255</v>
      </c>
      <c r="GG4" s="16" t="s">
        <v>255</v>
      </c>
      <c r="GH4" s="16" t="s">
        <v>255</v>
      </c>
      <c r="GI4" s="16" t="s">
        <v>255</v>
      </c>
      <c r="GJ4" s="16" t="s">
        <v>255</v>
      </c>
      <c r="GK4" s="16" t="s">
        <v>280</v>
      </c>
      <c r="GL4" s="16" t="s">
        <v>255</v>
      </c>
      <c r="GM4" s="16" t="s">
        <v>255</v>
      </c>
      <c r="GN4" s="16" t="s">
        <v>255</v>
      </c>
      <c r="GO4" s="16" t="s">
        <v>255</v>
      </c>
      <c r="GP4" s="16" t="s">
        <v>255</v>
      </c>
      <c r="GQ4" s="16" t="s">
        <v>324</v>
      </c>
      <c r="GR4" s="16" t="s">
        <v>324</v>
      </c>
      <c r="GS4" s="16" t="s">
        <v>255</v>
      </c>
      <c r="GT4" s="16" t="s">
        <v>324</v>
      </c>
      <c r="GU4" s="16" t="s">
        <v>324</v>
      </c>
      <c r="GV4" s="16" t="s">
        <v>255</v>
      </c>
      <c r="GW4" s="16" t="s">
        <v>325</v>
      </c>
      <c r="GX4" s="16" t="s">
        <v>256</v>
      </c>
      <c r="GY4" s="16" t="s">
        <v>256</v>
      </c>
      <c r="GZ4" s="16" t="s">
        <v>268</v>
      </c>
      <c r="HA4" s="16" t="s">
        <v>256</v>
      </c>
      <c r="HB4" s="16" t="s">
        <v>256</v>
      </c>
      <c r="HC4" s="16" t="s">
        <v>256</v>
      </c>
      <c r="HD4" s="16" t="s">
        <v>256</v>
      </c>
      <c r="HE4" s="16" t="s">
        <v>256</v>
      </c>
      <c r="HF4" s="16" t="s">
        <v>256</v>
      </c>
      <c r="HG4" s="16" t="s">
        <v>256</v>
      </c>
      <c r="HH4" s="16" t="s">
        <v>256</v>
      </c>
      <c r="HI4" s="16" t="s">
        <v>256</v>
      </c>
      <c r="HJ4" s="16" t="s">
        <v>244</v>
      </c>
      <c r="HK4" s="16" t="s">
        <v>256</v>
      </c>
      <c r="HL4" s="16" t="s">
        <v>244</v>
      </c>
      <c r="HM4" s="16" t="s">
        <v>256</v>
      </c>
      <c r="HN4" s="16" t="s">
        <v>256</v>
      </c>
      <c r="HO4" s="20" t="s">
        <v>256</v>
      </c>
    </row>
    <row r="5" spans="1:223" ht="51.6" customHeight="1" x14ac:dyDescent="0.25">
      <c r="A5">
        <v>3</v>
      </c>
      <c r="B5" s="21">
        <v>45845.570185185185</v>
      </c>
      <c r="C5" s="22" t="s">
        <v>326</v>
      </c>
      <c r="D5" s="23">
        <v>29479</v>
      </c>
      <c r="E5" s="22" t="s">
        <v>327</v>
      </c>
      <c r="F5" s="22" t="s">
        <v>225</v>
      </c>
      <c r="G5" s="22" t="s">
        <v>291</v>
      </c>
      <c r="H5" s="22" t="s">
        <v>227</v>
      </c>
      <c r="I5" s="22" t="s">
        <v>328</v>
      </c>
      <c r="J5" s="22" t="s">
        <v>329</v>
      </c>
      <c r="K5" s="22" t="s">
        <v>330</v>
      </c>
      <c r="L5" s="22" t="s">
        <v>331</v>
      </c>
      <c r="M5" s="22" t="s">
        <v>231</v>
      </c>
      <c r="N5" s="22" t="s">
        <v>295</v>
      </c>
      <c r="O5" s="22" t="s">
        <v>233</v>
      </c>
      <c r="P5" s="24">
        <v>2</v>
      </c>
      <c r="Q5" s="22" t="s">
        <v>332</v>
      </c>
      <c r="R5" s="22" t="s">
        <v>296</v>
      </c>
      <c r="S5" s="22" t="s">
        <v>236</v>
      </c>
      <c r="T5" s="22" t="s">
        <v>237</v>
      </c>
      <c r="U5" s="22" t="s">
        <v>298</v>
      </c>
      <c r="V5" s="22" t="s">
        <v>238</v>
      </c>
      <c r="W5" s="22" t="s">
        <v>298</v>
      </c>
      <c r="X5" s="22" t="s">
        <v>298</v>
      </c>
      <c r="Y5" s="22" t="s">
        <v>240</v>
      </c>
      <c r="Z5" s="22" t="s">
        <v>241</v>
      </c>
      <c r="AA5" s="22" t="s">
        <v>333</v>
      </c>
      <c r="AB5" s="22" t="s">
        <v>243</v>
      </c>
      <c r="AC5" s="22" t="s">
        <v>244</v>
      </c>
      <c r="AD5" s="22" t="s">
        <v>245</v>
      </c>
      <c r="AE5" s="22" t="s">
        <v>334</v>
      </c>
      <c r="AF5" s="22" t="s">
        <v>335</v>
      </c>
      <c r="AG5" s="22" t="s">
        <v>336</v>
      </c>
      <c r="AH5" s="22" t="s">
        <v>301</v>
      </c>
      <c r="AI5" s="22" t="s">
        <v>337</v>
      </c>
      <c r="AJ5" s="22" t="s">
        <v>244</v>
      </c>
      <c r="AK5" s="22" t="s">
        <v>251</v>
      </c>
      <c r="AL5" s="22" t="s">
        <v>304</v>
      </c>
      <c r="AM5" s="22" t="s">
        <v>305</v>
      </c>
      <c r="AN5" s="22" t="s">
        <v>254</v>
      </c>
      <c r="AO5" s="22" t="s">
        <v>338</v>
      </c>
      <c r="AP5" s="22" t="s">
        <v>256</v>
      </c>
      <c r="AQ5" s="25"/>
      <c r="AR5" s="25"/>
      <c r="AS5" s="25"/>
      <c r="AT5" s="25"/>
      <c r="AU5" s="22" t="s">
        <v>256</v>
      </c>
      <c r="AV5" s="25"/>
      <c r="AW5" s="25"/>
      <c r="AX5" s="22" t="s">
        <v>256</v>
      </c>
      <c r="AY5" s="25"/>
      <c r="AZ5" s="25"/>
      <c r="BA5" s="25"/>
      <c r="BB5" s="25"/>
      <c r="BC5" s="22" t="s">
        <v>256</v>
      </c>
      <c r="BD5" s="22" t="s">
        <v>256</v>
      </c>
      <c r="BE5" s="22" t="s">
        <v>244</v>
      </c>
      <c r="BF5" s="22" t="s">
        <v>256</v>
      </c>
      <c r="BG5" s="22" t="s">
        <v>256</v>
      </c>
      <c r="BH5" s="22" t="s">
        <v>256</v>
      </c>
      <c r="BI5" s="22" t="s">
        <v>256</v>
      </c>
      <c r="BJ5" s="22" t="s">
        <v>256</v>
      </c>
      <c r="BK5" s="22" t="s">
        <v>256</v>
      </c>
      <c r="BL5" s="25"/>
      <c r="BM5" s="25"/>
      <c r="BN5" s="25"/>
      <c r="BO5" s="25"/>
      <c r="BP5" s="25"/>
      <c r="BQ5" s="25"/>
      <c r="BR5" s="25"/>
      <c r="BS5" s="22" t="s">
        <v>257</v>
      </c>
      <c r="BT5" s="22" t="s">
        <v>339</v>
      </c>
      <c r="BU5" s="22" t="s">
        <v>259</v>
      </c>
      <c r="BV5" s="22" t="s">
        <v>340</v>
      </c>
      <c r="BW5" s="22" t="s">
        <v>341</v>
      </c>
      <c r="BX5" s="22" t="s">
        <v>244</v>
      </c>
      <c r="BY5" s="22" t="s">
        <v>277</v>
      </c>
      <c r="BZ5" s="22" t="s">
        <v>342</v>
      </c>
      <c r="CA5" s="22" t="s">
        <v>261</v>
      </c>
      <c r="CB5" s="22" t="s">
        <v>261</v>
      </c>
      <c r="CC5" s="22" t="s">
        <v>261</v>
      </c>
      <c r="CD5" s="22" t="s">
        <v>256</v>
      </c>
      <c r="CE5" s="22" t="s">
        <v>262</v>
      </c>
      <c r="CF5" s="22" t="s">
        <v>244</v>
      </c>
      <c r="CG5" s="24">
        <v>2</v>
      </c>
      <c r="CH5" s="22" t="s">
        <v>244</v>
      </c>
      <c r="CI5" s="22" t="s">
        <v>256</v>
      </c>
      <c r="CJ5" s="22" t="s">
        <v>263</v>
      </c>
      <c r="CK5" s="22" t="s">
        <v>313</v>
      </c>
      <c r="CL5" s="22" t="s">
        <v>265</v>
      </c>
      <c r="CM5" s="22" t="s">
        <v>314</v>
      </c>
      <c r="CN5" s="22" t="s">
        <v>256</v>
      </c>
      <c r="CO5" s="25"/>
      <c r="CP5" s="22" t="s">
        <v>244</v>
      </c>
      <c r="CQ5" s="22" t="s">
        <v>274</v>
      </c>
      <c r="CR5" s="22" t="s">
        <v>268</v>
      </c>
      <c r="CS5" s="22" t="s">
        <v>343</v>
      </c>
      <c r="CT5" s="22" t="s">
        <v>256</v>
      </c>
      <c r="CU5" s="22" t="s">
        <v>344</v>
      </c>
      <c r="CV5" s="22" t="s">
        <v>345</v>
      </c>
      <c r="CW5" s="22" t="s">
        <v>272</v>
      </c>
      <c r="CX5" s="25"/>
      <c r="CY5" s="22" t="s">
        <v>236</v>
      </c>
      <c r="CZ5" s="22" t="s">
        <v>346</v>
      </c>
      <c r="DA5" s="22" t="s">
        <v>256</v>
      </c>
      <c r="DB5" s="22" t="s">
        <v>256</v>
      </c>
      <c r="DC5" s="22" t="s">
        <v>347</v>
      </c>
      <c r="DD5" s="22" t="s">
        <v>268</v>
      </c>
      <c r="DE5" s="22" t="s">
        <v>348</v>
      </c>
      <c r="DF5" s="22" t="s">
        <v>256</v>
      </c>
      <c r="DG5" s="22" t="s">
        <v>236</v>
      </c>
      <c r="DH5" s="22" t="s">
        <v>255</v>
      </c>
      <c r="DI5" s="22" t="s">
        <v>236</v>
      </c>
      <c r="DJ5" s="22" t="s">
        <v>256</v>
      </c>
      <c r="DK5" s="22" t="s">
        <v>256</v>
      </c>
      <c r="DL5" s="22" t="s">
        <v>276</v>
      </c>
      <c r="DM5" s="22" t="s">
        <v>277</v>
      </c>
      <c r="DN5" s="22" t="s">
        <v>276</v>
      </c>
      <c r="DO5" s="22" t="s">
        <v>255</v>
      </c>
      <c r="DP5" s="22" t="s">
        <v>255</v>
      </c>
      <c r="DQ5" s="22" t="s">
        <v>276</v>
      </c>
      <c r="DR5" s="22" t="s">
        <v>255</v>
      </c>
      <c r="DS5" s="22" t="s">
        <v>255</v>
      </c>
      <c r="DT5" s="22" t="s">
        <v>255</v>
      </c>
      <c r="DU5" s="22" t="s">
        <v>255</v>
      </c>
      <c r="DV5" s="22" t="s">
        <v>255</v>
      </c>
      <c r="DW5" s="22" t="s">
        <v>255</v>
      </c>
      <c r="DX5" s="22" t="s">
        <v>277</v>
      </c>
      <c r="DY5" s="22" t="s">
        <v>277</v>
      </c>
      <c r="DZ5" s="22" t="s">
        <v>277</v>
      </c>
      <c r="EA5" s="22" t="s">
        <v>276</v>
      </c>
      <c r="EB5" s="22" t="s">
        <v>255</v>
      </c>
      <c r="EC5" s="22" t="s">
        <v>277</v>
      </c>
      <c r="ED5" s="22" t="s">
        <v>255</v>
      </c>
      <c r="EE5" s="22" t="s">
        <v>255</v>
      </c>
      <c r="EF5" s="22" t="s">
        <v>277</v>
      </c>
      <c r="EG5" s="22" t="s">
        <v>255</v>
      </c>
      <c r="EH5" s="22" t="s">
        <v>255</v>
      </c>
      <c r="EI5" s="22" t="s">
        <v>277</v>
      </c>
      <c r="EJ5" s="22" t="s">
        <v>255</v>
      </c>
      <c r="EK5" s="22" t="s">
        <v>255</v>
      </c>
      <c r="EL5" s="22" t="s">
        <v>255</v>
      </c>
      <c r="EM5" s="22" t="s">
        <v>255</v>
      </c>
      <c r="EN5" s="22" t="s">
        <v>255</v>
      </c>
      <c r="EO5" s="22" t="s">
        <v>255</v>
      </c>
      <c r="EP5" s="22" t="s">
        <v>276</v>
      </c>
      <c r="EQ5" s="22" t="s">
        <v>277</v>
      </c>
      <c r="ER5" s="22" t="s">
        <v>276</v>
      </c>
      <c r="ES5" s="22" t="s">
        <v>255</v>
      </c>
      <c r="ET5" s="22" t="s">
        <v>255</v>
      </c>
      <c r="EU5" s="22" t="s">
        <v>255</v>
      </c>
      <c r="EV5" s="22" t="s">
        <v>276</v>
      </c>
      <c r="EW5" s="22" t="s">
        <v>277</v>
      </c>
      <c r="EX5" s="22" t="s">
        <v>255</v>
      </c>
      <c r="EY5" s="22" t="s">
        <v>255</v>
      </c>
      <c r="EZ5" s="22" t="s">
        <v>277</v>
      </c>
      <c r="FA5" s="22" t="s">
        <v>278</v>
      </c>
      <c r="FB5" s="22" t="s">
        <v>256</v>
      </c>
      <c r="FC5" s="22" t="s">
        <v>255</v>
      </c>
      <c r="FD5" s="22" t="s">
        <v>268</v>
      </c>
      <c r="FE5" s="22" t="s">
        <v>244</v>
      </c>
      <c r="FF5" s="22" t="s">
        <v>278</v>
      </c>
      <c r="FG5" s="22" t="s">
        <v>256</v>
      </c>
      <c r="FH5" s="22" t="s">
        <v>255</v>
      </c>
      <c r="FI5" s="22" t="s">
        <v>268</v>
      </c>
      <c r="FJ5" s="22" t="s">
        <v>256</v>
      </c>
      <c r="FK5" s="22" t="s">
        <v>255</v>
      </c>
      <c r="FL5" s="22" t="s">
        <v>256</v>
      </c>
      <c r="FM5" s="22" t="s">
        <v>255</v>
      </c>
      <c r="FN5" s="22" t="s">
        <v>256</v>
      </c>
      <c r="FO5" s="22" t="s">
        <v>256</v>
      </c>
      <c r="FP5" s="22" t="s">
        <v>255</v>
      </c>
      <c r="FQ5" s="22" t="s">
        <v>256</v>
      </c>
      <c r="FR5" s="22" t="s">
        <v>255</v>
      </c>
      <c r="FS5" s="22" t="s">
        <v>256</v>
      </c>
      <c r="FT5" s="22" t="s">
        <v>280</v>
      </c>
      <c r="FU5" s="22" t="s">
        <v>281</v>
      </c>
      <c r="FV5" s="22" t="s">
        <v>281</v>
      </c>
      <c r="FW5" s="22" t="s">
        <v>255</v>
      </c>
      <c r="FX5" s="22" t="s">
        <v>255</v>
      </c>
      <c r="FY5" s="22" t="s">
        <v>255</v>
      </c>
      <c r="FZ5" s="22" t="s">
        <v>282</v>
      </c>
      <c r="GA5" s="22" t="s">
        <v>255</v>
      </c>
      <c r="GB5" s="22" t="s">
        <v>255</v>
      </c>
      <c r="GC5" s="22" t="s">
        <v>255</v>
      </c>
      <c r="GD5" s="22" t="s">
        <v>255</v>
      </c>
      <c r="GE5" s="22" t="s">
        <v>255</v>
      </c>
      <c r="GF5" s="22" t="s">
        <v>255</v>
      </c>
      <c r="GG5" s="22" t="s">
        <v>255</v>
      </c>
      <c r="GH5" s="22" t="s">
        <v>255</v>
      </c>
      <c r="GI5" s="22" t="s">
        <v>255</v>
      </c>
      <c r="GJ5" s="22" t="s">
        <v>255</v>
      </c>
      <c r="GK5" s="22" t="s">
        <v>280</v>
      </c>
      <c r="GL5" s="22" t="s">
        <v>255</v>
      </c>
      <c r="GM5" s="22" t="s">
        <v>255</v>
      </c>
      <c r="GN5" s="22" t="s">
        <v>255</v>
      </c>
      <c r="GO5" s="22" t="s">
        <v>255</v>
      </c>
      <c r="GP5" s="22" t="s">
        <v>255</v>
      </c>
      <c r="GQ5" s="22" t="s">
        <v>324</v>
      </c>
      <c r="GR5" s="22" t="s">
        <v>324</v>
      </c>
      <c r="GS5" s="22" t="s">
        <v>255</v>
      </c>
      <c r="GT5" s="22" t="s">
        <v>324</v>
      </c>
      <c r="GU5" s="22" t="s">
        <v>324</v>
      </c>
      <c r="GV5" s="22" t="s">
        <v>255</v>
      </c>
      <c r="GW5" s="22" t="s">
        <v>325</v>
      </c>
      <c r="GX5" s="22" t="s">
        <v>244</v>
      </c>
      <c r="GY5" s="22" t="s">
        <v>256</v>
      </c>
      <c r="GZ5" s="22" t="s">
        <v>256</v>
      </c>
      <c r="HA5" s="22" t="s">
        <v>256</v>
      </c>
      <c r="HB5" s="22" t="s">
        <v>256</v>
      </c>
      <c r="HC5" s="22" t="s">
        <v>256</v>
      </c>
      <c r="HD5" s="22" t="s">
        <v>244</v>
      </c>
      <c r="HE5" s="22" t="s">
        <v>244</v>
      </c>
      <c r="HF5" s="22" t="s">
        <v>256</v>
      </c>
      <c r="HG5" s="22" t="s">
        <v>256</v>
      </c>
      <c r="HH5" s="22" t="s">
        <v>244</v>
      </c>
      <c r="HI5" s="22" t="s">
        <v>256</v>
      </c>
      <c r="HJ5" s="22" t="s">
        <v>244</v>
      </c>
      <c r="HK5" s="22" t="s">
        <v>256</v>
      </c>
      <c r="HL5" s="22" t="s">
        <v>244</v>
      </c>
      <c r="HM5" s="22" t="s">
        <v>244</v>
      </c>
      <c r="HN5" s="22" t="s">
        <v>256</v>
      </c>
      <c r="HO5" s="26" t="s">
        <v>256</v>
      </c>
    </row>
    <row r="6" spans="1:223" ht="43.5" customHeight="1" x14ac:dyDescent="0.25">
      <c r="A6">
        <v>4</v>
      </c>
      <c r="B6" s="15">
        <v>45846.483472222222</v>
      </c>
      <c r="C6" s="16" t="s">
        <v>349</v>
      </c>
      <c r="D6" s="17">
        <v>33994</v>
      </c>
      <c r="E6" s="16" t="s">
        <v>350</v>
      </c>
      <c r="F6" s="16" t="s">
        <v>229</v>
      </c>
      <c r="G6" s="16" t="s">
        <v>226</v>
      </c>
      <c r="H6" s="16" t="s">
        <v>292</v>
      </c>
      <c r="I6" s="16" t="s">
        <v>228</v>
      </c>
      <c r="J6" s="16" t="s">
        <v>229</v>
      </c>
      <c r="K6" s="16" t="s">
        <v>351</v>
      </c>
      <c r="L6" s="16" t="s">
        <v>331</v>
      </c>
      <c r="M6" s="16" t="s">
        <v>231</v>
      </c>
      <c r="N6" s="16" t="s">
        <v>295</v>
      </c>
      <c r="O6" s="16" t="s">
        <v>352</v>
      </c>
      <c r="P6" s="16" t="s">
        <v>353</v>
      </c>
      <c r="Q6" s="16" t="s">
        <v>236</v>
      </c>
      <c r="R6" s="16" t="s">
        <v>354</v>
      </c>
      <c r="S6" s="16" t="s">
        <v>355</v>
      </c>
      <c r="T6" s="16" t="s">
        <v>237</v>
      </c>
      <c r="U6" s="16" t="s">
        <v>239</v>
      </c>
      <c r="V6" s="16" t="s">
        <v>298</v>
      </c>
      <c r="W6" s="16" t="s">
        <v>238</v>
      </c>
      <c r="X6" s="16" t="s">
        <v>298</v>
      </c>
      <c r="Y6" s="16" t="s">
        <v>356</v>
      </c>
      <c r="Z6" s="16" t="s">
        <v>241</v>
      </c>
      <c r="AA6" s="16" t="s">
        <v>242</v>
      </c>
      <c r="AB6" s="16" t="s">
        <v>243</v>
      </c>
      <c r="AC6" s="16" t="s">
        <v>244</v>
      </c>
      <c r="AD6" s="16" t="s">
        <v>245</v>
      </c>
      <c r="AE6" s="16" t="s">
        <v>246</v>
      </c>
      <c r="AF6" s="16" t="s">
        <v>247</v>
      </c>
      <c r="AG6" s="16" t="s">
        <v>248</v>
      </c>
      <c r="AH6" s="16" t="s">
        <v>249</v>
      </c>
      <c r="AI6" s="16" t="s">
        <v>250</v>
      </c>
      <c r="AJ6" s="16" t="s">
        <v>256</v>
      </c>
      <c r="AK6" s="19"/>
      <c r="AL6" s="19"/>
      <c r="AM6" s="19"/>
      <c r="AN6" s="19"/>
      <c r="AO6" s="16" t="s">
        <v>255</v>
      </c>
      <c r="AP6" s="16" t="s">
        <v>256</v>
      </c>
      <c r="AQ6" s="19"/>
      <c r="AR6" s="19"/>
      <c r="AS6" s="19"/>
      <c r="AT6" s="19"/>
      <c r="AU6" s="16" t="s">
        <v>256</v>
      </c>
      <c r="AV6" s="19"/>
      <c r="AW6" s="19"/>
      <c r="AX6" s="16" t="s">
        <v>256</v>
      </c>
      <c r="AY6" s="19"/>
      <c r="AZ6" s="19"/>
      <c r="BA6" s="19"/>
      <c r="BB6" s="19"/>
      <c r="BC6" s="16" t="s">
        <v>256</v>
      </c>
      <c r="BD6" s="16" t="s">
        <v>256</v>
      </c>
      <c r="BE6" s="16" t="s">
        <v>244</v>
      </c>
      <c r="BF6" s="16" t="s">
        <v>256</v>
      </c>
      <c r="BG6" s="16" t="s">
        <v>256</v>
      </c>
      <c r="BH6" s="16" t="s">
        <v>256</v>
      </c>
      <c r="BI6" s="16" t="s">
        <v>256</v>
      </c>
      <c r="BJ6" s="16" t="s">
        <v>256</v>
      </c>
      <c r="BK6" s="16" t="s">
        <v>256</v>
      </c>
      <c r="BL6" s="19"/>
      <c r="BM6" s="19"/>
      <c r="BN6" s="19"/>
      <c r="BO6" s="19"/>
      <c r="BP6" s="19"/>
      <c r="BQ6" s="19"/>
      <c r="BR6" s="19"/>
      <c r="BS6" s="16" t="s">
        <v>357</v>
      </c>
      <c r="BT6" s="16" t="s">
        <v>306</v>
      </c>
      <c r="BU6" s="16" t="s">
        <v>358</v>
      </c>
      <c r="BV6" s="16" t="s">
        <v>340</v>
      </c>
      <c r="BW6" s="16" t="s">
        <v>260</v>
      </c>
      <c r="BX6" s="16" t="s">
        <v>244</v>
      </c>
      <c r="BY6" s="16" t="s">
        <v>309</v>
      </c>
      <c r="BZ6" s="16" t="s">
        <v>310</v>
      </c>
      <c r="CA6" s="16" t="s">
        <v>261</v>
      </c>
      <c r="CB6" s="16" t="s">
        <v>261</v>
      </c>
      <c r="CC6" s="16" t="s">
        <v>261</v>
      </c>
      <c r="CD6" s="16" t="s">
        <v>256</v>
      </c>
      <c r="CE6" s="16" t="s">
        <v>262</v>
      </c>
      <c r="CF6" s="16" t="s">
        <v>244</v>
      </c>
      <c r="CG6" s="18">
        <v>1</v>
      </c>
      <c r="CH6" s="16" t="s">
        <v>244</v>
      </c>
      <c r="CI6" s="16" t="s">
        <v>244</v>
      </c>
      <c r="CJ6" s="16" t="s">
        <v>263</v>
      </c>
      <c r="CK6" s="16" t="s">
        <v>359</v>
      </c>
      <c r="CL6" s="16" t="s">
        <v>265</v>
      </c>
      <c r="CM6" s="16" t="s">
        <v>314</v>
      </c>
      <c r="CN6" s="16" t="s">
        <v>256</v>
      </c>
      <c r="CO6" s="19"/>
      <c r="CP6" s="16" t="s">
        <v>244</v>
      </c>
      <c r="CQ6" s="16" t="s">
        <v>278</v>
      </c>
      <c r="CR6" s="16" t="s">
        <v>268</v>
      </c>
      <c r="CS6" s="16" t="s">
        <v>360</v>
      </c>
      <c r="CT6" s="16" t="s">
        <v>268</v>
      </c>
      <c r="CU6" s="16" t="s">
        <v>317</v>
      </c>
      <c r="CV6" s="16" t="s">
        <v>318</v>
      </c>
      <c r="CW6" s="16" t="s">
        <v>272</v>
      </c>
      <c r="CX6" s="19"/>
      <c r="CY6" s="16" t="s">
        <v>236</v>
      </c>
      <c r="CZ6" s="16" t="s">
        <v>346</v>
      </c>
      <c r="DA6" s="16" t="s">
        <v>361</v>
      </c>
      <c r="DB6" s="16" t="s">
        <v>256</v>
      </c>
      <c r="DC6" s="16" t="s">
        <v>361</v>
      </c>
      <c r="DD6" s="16" t="s">
        <v>256</v>
      </c>
      <c r="DE6" s="16" t="s">
        <v>362</v>
      </c>
      <c r="DF6" s="16" t="s">
        <v>256</v>
      </c>
      <c r="DG6" s="16" t="s">
        <v>362</v>
      </c>
      <c r="DH6" s="16" t="s">
        <v>255</v>
      </c>
      <c r="DI6" s="16" t="s">
        <v>236</v>
      </c>
      <c r="DJ6" s="16" t="s">
        <v>256</v>
      </c>
      <c r="DK6" s="16" t="s">
        <v>256</v>
      </c>
      <c r="DL6" s="16" t="s">
        <v>277</v>
      </c>
      <c r="DM6" s="16" t="s">
        <v>255</v>
      </c>
      <c r="DN6" s="16" t="s">
        <v>255</v>
      </c>
      <c r="DO6" s="16" t="s">
        <v>255</v>
      </c>
      <c r="DP6" s="16" t="s">
        <v>255</v>
      </c>
      <c r="DQ6" s="16" t="s">
        <v>255</v>
      </c>
      <c r="DR6" s="16" t="s">
        <v>277</v>
      </c>
      <c r="DS6" s="16" t="s">
        <v>255</v>
      </c>
      <c r="DT6" s="16" t="s">
        <v>277</v>
      </c>
      <c r="DU6" s="16" t="s">
        <v>277</v>
      </c>
      <c r="DV6" s="16" t="s">
        <v>255</v>
      </c>
      <c r="DW6" s="16" t="s">
        <v>255</v>
      </c>
      <c r="DX6" s="16" t="s">
        <v>276</v>
      </c>
      <c r="DY6" s="16" t="s">
        <v>277</v>
      </c>
      <c r="DZ6" s="16" t="s">
        <v>277</v>
      </c>
      <c r="EA6" s="16" t="s">
        <v>276</v>
      </c>
      <c r="EB6" s="16" t="s">
        <v>277</v>
      </c>
      <c r="EC6" s="16" t="s">
        <v>277</v>
      </c>
      <c r="ED6" s="16" t="s">
        <v>255</v>
      </c>
      <c r="EE6" s="16" t="s">
        <v>255</v>
      </c>
      <c r="EF6" s="16" t="s">
        <v>255</v>
      </c>
      <c r="EG6" s="16" t="s">
        <v>255</v>
      </c>
      <c r="EH6" s="16" t="s">
        <v>255</v>
      </c>
      <c r="EI6" s="16" t="s">
        <v>255</v>
      </c>
      <c r="EJ6" s="16" t="s">
        <v>255</v>
      </c>
      <c r="EK6" s="16" t="s">
        <v>255</v>
      </c>
      <c r="EL6" s="16" t="s">
        <v>255</v>
      </c>
      <c r="EM6" s="16" t="s">
        <v>255</v>
      </c>
      <c r="EN6" s="16" t="s">
        <v>277</v>
      </c>
      <c r="EO6" s="16" t="s">
        <v>255</v>
      </c>
      <c r="EP6" s="16" t="s">
        <v>255</v>
      </c>
      <c r="EQ6" s="16" t="s">
        <v>277</v>
      </c>
      <c r="ER6" s="16" t="s">
        <v>277</v>
      </c>
      <c r="ES6" s="16" t="s">
        <v>255</v>
      </c>
      <c r="ET6" s="16" t="s">
        <v>277</v>
      </c>
      <c r="EU6" s="16" t="s">
        <v>277</v>
      </c>
      <c r="EV6" s="16" t="s">
        <v>277</v>
      </c>
      <c r="EW6" s="16" t="s">
        <v>277</v>
      </c>
      <c r="EX6" s="16" t="s">
        <v>277</v>
      </c>
      <c r="EY6" s="16" t="s">
        <v>255</v>
      </c>
      <c r="EZ6" s="16" t="s">
        <v>268</v>
      </c>
      <c r="FA6" s="16" t="s">
        <v>315</v>
      </c>
      <c r="FB6" s="16" t="s">
        <v>256</v>
      </c>
      <c r="FC6" s="16" t="s">
        <v>255</v>
      </c>
      <c r="FD6" s="16" t="s">
        <v>268</v>
      </c>
      <c r="FE6" s="16" t="s">
        <v>277</v>
      </c>
      <c r="FF6" s="16" t="s">
        <v>278</v>
      </c>
      <c r="FG6" s="16" t="s">
        <v>256</v>
      </c>
      <c r="FH6" s="16" t="s">
        <v>255</v>
      </c>
      <c r="FI6" s="16" t="s">
        <v>268</v>
      </c>
      <c r="FJ6" s="16" t="s">
        <v>244</v>
      </c>
      <c r="FK6" s="16" t="s">
        <v>279</v>
      </c>
      <c r="FL6" s="16" t="s">
        <v>277</v>
      </c>
      <c r="FM6" s="16" t="s">
        <v>278</v>
      </c>
      <c r="FN6" s="16" t="s">
        <v>268</v>
      </c>
      <c r="FO6" s="16" t="s">
        <v>277</v>
      </c>
      <c r="FP6" s="16" t="s">
        <v>279</v>
      </c>
      <c r="FQ6" s="16" t="s">
        <v>256</v>
      </c>
      <c r="FR6" s="16" t="s">
        <v>255</v>
      </c>
      <c r="FS6" s="16" t="s">
        <v>256</v>
      </c>
      <c r="FT6" s="16" t="s">
        <v>280</v>
      </c>
      <c r="FU6" s="16" t="s">
        <v>281</v>
      </c>
      <c r="FV6" s="16" t="s">
        <v>281</v>
      </c>
      <c r="FW6" s="16" t="s">
        <v>255</v>
      </c>
      <c r="FX6" s="16" t="s">
        <v>255</v>
      </c>
      <c r="FY6" s="16" t="s">
        <v>255</v>
      </c>
      <c r="FZ6" s="16" t="s">
        <v>283</v>
      </c>
      <c r="GA6" s="16" t="s">
        <v>255</v>
      </c>
      <c r="GB6" s="16" t="s">
        <v>255</v>
      </c>
      <c r="GC6" s="16" t="s">
        <v>255</v>
      </c>
      <c r="GD6" s="16" t="s">
        <v>255</v>
      </c>
      <c r="GE6" s="16" t="s">
        <v>255</v>
      </c>
      <c r="GF6" s="16" t="s">
        <v>255</v>
      </c>
      <c r="GG6" s="16" t="s">
        <v>255</v>
      </c>
      <c r="GH6" s="16" t="s">
        <v>255</v>
      </c>
      <c r="GI6" s="16" t="s">
        <v>255</v>
      </c>
      <c r="GJ6" s="16" t="s">
        <v>255</v>
      </c>
      <c r="GK6" s="16" t="s">
        <v>280</v>
      </c>
      <c r="GL6" s="16" t="s">
        <v>255</v>
      </c>
      <c r="GM6" s="16" t="s">
        <v>255</v>
      </c>
      <c r="GN6" s="16" t="s">
        <v>255</v>
      </c>
      <c r="GO6" s="16" t="s">
        <v>255</v>
      </c>
      <c r="GP6" s="16" t="s">
        <v>255</v>
      </c>
      <c r="GQ6" s="16" t="s">
        <v>324</v>
      </c>
      <c r="GR6" s="16" t="s">
        <v>324</v>
      </c>
      <c r="GS6" s="16" t="s">
        <v>255</v>
      </c>
      <c r="GT6" s="16" t="s">
        <v>324</v>
      </c>
      <c r="GU6" s="16" t="s">
        <v>324</v>
      </c>
      <c r="GV6" s="16" t="s">
        <v>255</v>
      </c>
      <c r="GW6" s="16" t="s">
        <v>325</v>
      </c>
      <c r="GX6" s="16" t="s">
        <v>256</v>
      </c>
      <c r="GY6" s="16" t="s">
        <v>256</v>
      </c>
      <c r="GZ6" s="16" t="s">
        <v>256</v>
      </c>
      <c r="HA6" s="16" t="s">
        <v>256</v>
      </c>
      <c r="HB6" s="16" t="s">
        <v>256</v>
      </c>
      <c r="HC6" s="16" t="s">
        <v>256</v>
      </c>
      <c r="HD6" s="16" t="s">
        <v>256</v>
      </c>
      <c r="HE6" s="16" t="s">
        <v>256</v>
      </c>
      <c r="HF6" s="16" t="s">
        <v>256</v>
      </c>
      <c r="HG6" s="16" t="s">
        <v>256</v>
      </c>
      <c r="HH6" s="16" t="s">
        <v>256</v>
      </c>
      <c r="HI6" s="16" t="s">
        <v>256</v>
      </c>
      <c r="HJ6" s="16" t="s">
        <v>256</v>
      </c>
      <c r="HK6" s="16" t="s">
        <v>256</v>
      </c>
      <c r="HL6" s="16" t="s">
        <v>256</v>
      </c>
      <c r="HM6" s="16" t="s">
        <v>256</v>
      </c>
      <c r="HN6" s="16" t="s">
        <v>256</v>
      </c>
      <c r="HO6" s="20" t="s">
        <v>256</v>
      </c>
    </row>
    <row r="7" spans="1:223" ht="50.1" customHeight="1" thickBot="1" x14ac:dyDescent="0.3">
      <c r="A7">
        <v>5</v>
      </c>
      <c r="B7" s="27">
        <v>45869.896284722221</v>
      </c>
      <c r="C7" s="28" t="s">
        <v>363</v>
      </c>
      <c r="D7" s="29">
        <v>33637</v>
      </c>
      <c r="E7" s="28" t="s">
        <v>364</v>
      </c>
      <c r="F7" s="28" t="s">
        <v>365</v>
      </c>
      <c r="G7" s="28" t="s">
        <v>226</v>
      </c>
      <c r="H7" s="28" t="s">
        <v>292</v>
      </c>
      <c r="I7" s="28" t="s">
        <v>228</v>
      </c>
      <c r="J7" s="28" t="s">
        <v>229</v>
      </c>
      <c r="K7" s="28" t="s">
        <v>366</v>
      </c>
      <c r="L7" s="28" t="s">
        <v>367</v>
      </c>
      <c r="M7" s="28" t="s">
        <v>231</v>
      </c>
      <c r="N7" s="28" t="s">
        <v>368</v>
      </c>
      <c r="O7" s="28" t="s">
        <v>369</v>
      </c>
      <c r="P7" s="28" t="s">
        <v>353</v>
      </c>
      <c r="Q7" s="28" t="s">
        <v>236</v>
      </c>
      <c r="R7" s="28" t="s">
        <v>370</v>
      </c>
      <c r="S7" s="28" t="s">
        <v>371</v>
      </c>
      <c r="T7" s="28" t="s">
        <v>372</v>
      </c>
      <c r="U7" s="28" t="s">
        <v>346</v>
      </c>
      <c r="V7" s="28" t="s">
        <v>346</v>
      </c>
      <c r="W7" s="28" t="s">
        <v>346</v>
      </c>
      <c r="X7" s="28" t="s">
        <v>346</v>
      </c>
      <c r="Y7" s="28" t="s">
        <v>356</v>
      </c>
      <c r="Z7" s="28" t="s">
        <v>272</v>
      </c>
      <c r="AA7" s="28" t="s">
        <v>373</v>
      </c>
      <c r="AB7" s="28" t="s">
        <v>374</v>
      </c>
      <c r="AC7" s="28" t="s">
        <v>244</v>
      </c>
      <c r="AD7" s="28" t="s">
        <v>375</v>
      </c>
      <c r="AE7" s="28" t="s">
        <v>246</v>
      </c>
      <c r="AF7" s="28" t="s">
        <v>376</v>
      </c>
      <c r="AG7" s="28" t="s">
        <v>336</v>
      </c>
      <c r="AH7" s="28" t="s">
        <v>249</v>
      </c>
      <c r="AI7" s="28" t="s">
        <v>377</v>
      </c>
      <c r="AJ7" s="28" t="s">
        <v>244</v>
      </c>
      <c r="AK7" s="28" t="s">
        <v>378</v>
      </c>
      <c r="AL7" s="28" t="s">
        <v>379</v>
      </c>
      <c r="AM7" s="28" t="s">
        <v>380</v>
      </c>
      <c r="AN7" s="28" t="s">
        <v>254</v>
      </c>
      <c r="AO7" s="28" t="s">
        <v>342</v>
      </c>
      <c r="AP7" s="28" t="s">
        <v>244</v>
      </c>
      <c r="AQ7" s="28" t="s">
        <v>381</v>
      </c>
      <c r="AR7" s="28" t="s">
        <v>268</v>
      </c>
      <c r="AS7" s="28" t="s">
        <v>244</v>
      </c>
      <c r="AT7" s="28" t="s">
        <v>382</v>
      </c>
      <c r="AU7" s="28" t="s">
        <v>244</v>
      </c>
      <c r="AV7" s="28" t="s">
        <v>383</v>
      </c>
      <c r="AW7" s="28" t="s">
        <v>384</v>
      </c>
      <c r="AX7" s="28" t="s">
        <v>244</v>
      </c>
      <c r="AY7" s="28" t="s">
        <v>268</v>
      </c>
      <c r="AZ7" s="28" t="s">
        <v>244</v>
      </c>
      <c r="BA7" s="28" t="s">
        <v>244</v>
      </c>
      <c r="BB7" s="28" t="s">
        <v>385</v>
      </c>
      <c r="BC7" s="28" t="s">
        <v>244</v>
      </c>
      <c r="BD7" s="28" t="s">
        <v>244</v>
      </c>
      <c r="BE7" s="28" t="s">
        <v>244</v>
      </c>
      <c r="BF7" s="28" t="s">
        <v>244</v>
      </c>
      <c r="BG7" s="28" t="s">
        <v>244</v>
      </c>
      <c r="BH7" s="28" t="s">
        <v>244</v>
      </c>
      <c r="BI7" s="28" t="s">
        <v>244</v>
      </c>
      <c r="BJ7" s="28" t="s">
        <v>244</v>
      </c>
      <c r="BK7" s="28" t="s">
        <v>244</v>
      </c>
      <c r="BL7" s="28" t="s">
        <v>386</v>
      </c>
      <c r="BM7" s="28" t="s">
        <v>387</v>
      </c>
      <c r="BN7" s="28" t="s">
        <v>388</v>
      </c>
      <c r="BO7" s="28" t="s">
        <v>244</v>
      </c>
      <c r="BP7" s="28" t="s">
        <v>389</v>
      </c>
      <c r="BQ7" s="28" t="s">
        <v>244</v>
      </c>
      <c r="BR7" s="28" t="s">
        <v>244</v>
      </c>
      <c r="BS7" s="28" t="s">
        <v>357</v>
      </c>
      <c r="BT7" s="28" t="s">
        <v>339</v>
      </c>
      <c r="BU7" s="28" t="s">
        <v>390</v>
      </c>
      <c r="BV7" s="28" t="s">
        <v>340</v>
      </c>
      <c r="BW7" s="28" t="s">
        <v>308</v>
      </c>
      <c r="BX7" s="28" t="s">
        <v>244</v>
      </c>
      <c r="BY7" s="28" t="s">
        <v>309</v>
      </c>
      <c r="BZ7" s="28" t="s">
        <v>342</v>
      </c>
      <c r="CA7" s="28" t="s">
        <v>391</v>
      </c>
      <c r="CB7" s="28" t="s">
        <v>391</v>
      </c>
      <c r="CC7" s="28" t="s">
        <v>391</v>
      </c>
      <c r="CD7" s="28" t="s">
        <v>244</v>
      </c>
      <c r="CE7" s="28" t="s">
        <v>392</v>
      </c>
      <c r="CF7" s="28" t="s">
        <v>244</v>
      </c>
      <c r="CG7" s="30">
        <v>1</v>
      </c>
      <c r="CH7" s="28" t="s">
        <v>256</v>
      </c>
      <c r="CI7" s="28" t="s">
        <v>256</v>
      </c>
      <c r="CJ7" s="28" t="s">
        <v>312</v>
      </c>
      <c r="CK7" s="28" t="s">
        <v>264</v>
      </c>
      <c r="CL7" s="28" t="s">
        <v>393</v>
      </c>
      <c r="CM7" s="28" t="s">
        <v>314</v>
      </c>
      <c r="CN7" s="28" t="s">
        <v>268</v>
      </c>
      <c r="CO7" s="28" t="s">
        <v>394</v>
      </c>
      <c r="CP7" s="28" t="s">
        <v>244</v>
      </c>
      <c r="CQ7" s="28" t="s">
        <v>279</v>
      </c>
      <c r="CR7" s="28" t="s">
        <v>268</v>
      </c>
      <c r="CS7" s="28" t="s">
        <v>395</v>
      </c>
      <c r="CT7" s="28" t="s">
        <v>268</v>
      </c>
      <c r="CU7" s="28" t="s">
        <v>270</v>
      </c>
      <c r="CV7" s="28" t="s">
        <v>396</v>
      </c>
      <c r="CW7" s="28" t="s">
        <v>397</v>
      </c>
      <c r="CX7" s="28" t="s">
        <v>398</v>
      </c>
      <c r="CY7" s="28" t="s">
        <v>256</v>
      </c>
      <c r="CZ7" s="28" t="s">
        <v>399</v>
      </c>
      <c r="DA7" s="28" t="s">
        <v>400</v>
      </c>
      <c r="DB7" s="28" t="s">
        <v>268</v>
      </c>
      <c r="DC7" s="28" t="s">
        <v>401</v>
      </c>
      <c r="DD7" s="28" t="s">
        <v>268</v>
      </c>
      <c r="DE7" s="28" t="s">
        <v>402</v>
      </c>
      <c r="DF7" s="28" t="s">
        <v>244</v>
      </c>
      <c r="DG7" s="28" t="s">
        <v>403</v>
      </c>
      <c r="DH7" s="28" t="s">
        <v>274</v>
      </c>
      <c r="DI7" s="28" t="s">
        <v>275</v>
      </c>
      <c r="DJ7" s="28" t="s">
        <v>244</v>
      </c>
      <c r="DK7" s="28" t="s">
        <v>244</v>
      </c>
      <c r="DL7" s="28" t="s">
        <v>276</v>
      </c>
      <c r="DM7" s="28" t="s">
        <v>276</v>
      </c>
      <c r="DN7" s="28" t="s">
        <v>276</v>
      </c>
      <c r="DO7" s="28" t="s">
        <v>276</v>
      </c>
      <c r="DP7" s="28" t="s">
        <v>276</v>
      </c>
      <c r="DQ7" s="28" t="s">
        <v>276</v>
      </c>
      <c r="DR7" s="28" t="s">
        <v>276</v>
      </c>
      <c r="DS7" s="28" t="s">
        <v>276</v>
      </c>
      <c r="DT7" s="28" t="s">
        <v>276</v>
      </c>
      <c r="DU7" s="28" t="s">
        <v>276</v>
      </c>
      <c r="DV7" s="28" t="s">
        <v>276</v>
      </c>
      <c r="DW7" s="28" t="s">
        <v>276</v>
      </c>
      <c r="DX7" s="28" t="s">
        <v>276</v>
      </c>
      <c r="DY7" s="28" t="s">
        <v>276</v>
      </c>
      <c r="DZ7" s="28" t="s">
        <v>276</v>
      </c>
      <c r="EA7" s="28" t="s">
        <v>276</v>
      </c>
      <c r="EB7" s="28" t="s">
        <v>276</v>
      </c>
      <c r="EC7" s="28" t="s">
        <v>276</v>
      </c>
      <c r="ED7" s="28" t="s">
        <v>276</v>
      </c>
      <c r="EE7" s="28" t="s">
        <v>276</v>
      </c>
      <c r="EF7" s="28" t="s">
        <v>276</v>
      </c>
      <c r="EG7" s="28" t="s">
        <v>276</v>
      </c>
      <c r="EH7" s="28" t="s">
        <v>276</v>
      </c>
      <c r="EI7" s="28" t="s">
        <v>276</v>
      </c>
      <c r="EJ7" s="28" t="s">
        <v>276</v>
      </c>
      <c r="EK7" s="28" t="s">
        <v>276</v>
      </c>
      <c r="EL7" s="28" t="s">
        <v>276</v>
      </c>
      <c r="EM7" s="28" t="s">
        <v>276</v>
      </c>
      <c r="EN7" s="28" t="s">
        <v>276</v>
      </c>
      <c r="EO7" s="28" t="s">
        <v>276</v>
      </c>
      <c r="EP7" s="28" t="s">
        <v>276</v>
      </c>
      <c r="EQ7" s="28" t="s">
        <v>276</v>
      </c>
      <c r="ER7" s="28" t="s">
        <v>276</v>
      </c>
      <c r="ES7" s="28" t="s">
        <v>276</v>
      </c>
      <c r="ET7" s="28" t="s">
        <v>276</v>
      </c>
      <c r="EU7" s="28" t="s">
        <v>276</v>
      </c>
      <c r="EV7" s="28" t="s">
        <v>276</v>
      </c>
      <c r="EW7" s="28" t="s">
        <v>276</v>
      </c>
      <c r="EX7" s="28" t="s">
        <v>276</v>
      </c>
      <c r="EY7" s="28" t="s">
        <v>276</v>
      </c>
      <c r="EZ7" s="28" t="s">
        <v>268</v>
      </c>
      <c r="FA7" s="28" t="s">
        <v>274</v>
      </c>
      <c r="FB7" s="28" t="s">
        <v>244</v>
      </c>
      <c r="FC7" s="28" t="s">
        <v>274</v>
      </c>
      <c r="FD7" s="28" t="s">
        <v>268</v>
      </c>
      <c r="FE7" s="28" t="s">
        <v>244</v>
      </c>
      <c r="FF7" s="28" t="s">
        <v>274</v>
      </c>
      <c r="FG7" s="28" t="s">
        <v>244</v>
      </c>
      <c r="FH7" s="28" t="s">
        <v>274</v>
      </c>
      <c r="FI7" s="28" t="s">
        <v>268</v>
      </c>
      <c r="FJ7" s="28" t="s">
        <v>244</v>
      </c>
      <c r="FK7" s="28" t="s">
        <v>274</v>
      </c>
      <c r="FL7" s="28" t="s">
        <v>244</v>
      </c>
      <c r="FM7" s="28" t="s">
        <v>274</v>
      </c>
      <c r="FN7" s="28" t="s">
        <v>268</v>
      </c>
      <c r="FO7" s="28" t="s">
        <v>244</v>
      </c>
      <c r="FP7" s="28" t="s">
        <v>274</v>
      </c>
      <c r="FQ7" s="28" t="s">
        <v>244</v>
      </c>
      <c r="FR7" s="28" t="s">
        <v>274</v>
      </c>
      <c r="FS7" s="28" t="s">
        <v>268</v>
      </c>
      <c r="FT7" s="28" t="s">
        <v>280</v>
      </c>
      <c r="FU7" s="28" t="s">
        <v>280</v>
      </c>
      <c r="FV7" s="28" t="s">
        <v>280</v>
      </c>
      <c r="FW7" s="28" t="s">
        <v>280</v>
      </c>
      <c r="FX7" s="28" t="s">
        <v>280</v>
      </c>
      <c r="FY7" s="28" t="s">
        <v>280</v>
      </c>
      <c r="FZ7" s="28" t="s">
        <v>280</v>
      </c>
      <c r="GA7" s="28" t="s">
        <v>280</v>
      </c>
      <c r="GB7" s="28" t="s">
        <v>280</v>
      </c>
      <c r="GC7" s="28" t="s">
        <v>280</v>
      </c>
      <c r="GD7" s="28" t="s">
        <v>280</v>
      </c>
      <c r="GE7" s="28" t="s">
        <v>280</v>
      </c>
      <c r="GF7" s="28" t="s">
        <v>280</v>
      </c>
      <c r="GG7" s="28" t="s">
        <v>280</v>
      </c>
      <c r="GH7" s="28" t="s">
        <v>280</v>
      </c>
      <c r="GI7" s="28" t="s">
        <v>280</v>
      </c>
      <c r="GJ7" s="28" t="s">
        <v>280</v>
      </c>
      <c r="GK7" s="28" t="s">
        <v>280</v>
      </c>
      <c r="GL7" s="28" t="s">
        <v>280</v>
      </c>
      <c r="GM7" s="28" t="s">
        <v>280</v>
      </c>
      <c r="GN7" s="28" t="s">
        <v>280</v>
      </c>
      <c r="GO7" s="28" t="s">
        <v>280</v>
      </c>
      <c r="GP7" s="28" t="s">
        <v>280</v>
      </c>
      <c r="GQ7" s="28" t="s">
        <v>284</v>
      </c>
      <c r="GR7" s="28" t="s">
        <v>404</v>
      </c>
      <c r="GS7" s="28" t="s">
        <v>280</v>
      </c>
      <c r="GT7" s="28" t="s">
        <v>284</v>
      </c>
      <c r="GU7" s="28" t="s">
        <v>405</v>
      </c>
      <c r="GV7" s="28" t="s">
        <v>280</v>
      </c>
      <c r="GW7" s="28" t="s">
        <v>406</v>
      </c>
      <c r="GX7" s="28" t="s">
        <v>244</v>
      </c>
      <c r="GY7" s="28" t="s">
        <v>244</v>
      </c>
      <c r="GZ7" s="28" t="s">
        <v>244</v>
      </c>
      <c r="HA7" s="28" t="s">
        <v>244</v>
      </c>
      <c r="HB7" s="28" t="s">
        <v>244</v>
      </c>
      <c r="HC7" s="28" t="s">
        <v>244</v>
      </c>
      <c r="HD7" s="28" t="s">
        <v>244</v>
      </c>
      <c r="HE7" s="28" t="s">
        <v>244</v>
      </c>
      <c r="HF7" s="28" t="s">
        <v>244</v>
      </c>
      <c r="HG7" s="28" t="s">
        <v>244</v>
      </c>
      <c r="HH7" s="28" t="s">
        <v>244</v>
      </c>
      <c r="HI7" s="28" t="s">
        <v>244</v>
      </c>
      <c r="HJ7" s="28" t="s">
        <v>244</v>
      </c>
      <c r="HK7" s="28" t="s">
        <v>244</v>
      </c>
      <c r="HL7" s="28" t="s">
        <v>244</v>
      </c>
      <c r="HM7" s="28" t="s">
        <v>244</v>
      </c>
      <c r="HN7" s="28" t="s">
        <v>244</v>
      </c>
      <c r="HO7" s="31" t="s">
        <v>244</v>
      </c>
    </row>
    <row r="8" spans="1:223" s="50" customFormat="1" ht="36" customHeight="1" thickBot="1" x14ac:dyDescent="0.3">
      <c r="A8" s="50">
        <v>6</v>
      </c>
      <c r="B8" s="51" t="s">
        <v>557</v>
      </c>
      <c r="C8" s="52" t="s">
        <v>558</v>
      </c>
      <c r="D8" s="53">
        <v>29479</v>
      </c>
      <c r="E8" s="52" t="s">
        <v>559</v>
      </c>
      <c r="F8" s="52" t="s">
        <v>225</v>
      </c>
      <c r="G8" s="52" t="s">
        <v>291</v>
      </c>
      <c r="H8" s="52" t="s">
        <v>227</v>
      </c>
      <c r="I8" s="52" t="s">
        <v>328</v>
      </c>
      <c r="J8" s="52" t="s">
        <v>329</v>
      </c>
      <c r="K8" s="52" t="s">
        <v>560</v>
      </c>
      <c r="L8" s="52" t="s">
        <v>561</v>
      </c>
      <c r="M8" s="52" t="s">
        <v>231</v>
      </c>
      <c r="N8" s="52" t="s">
        <v>295</v>
      </c>
      <c r="O8" s="52" t="s">
        <v>233</v>
      </c>
      <c r="P8" s="52">
        <v>2</v>
      </c>
      <c r="Q8" s="52" t="s">
        <v>332</v>
      </c>
      <c r="R8" s="52" t="s">
        <v>296</v>
      </c>
      <c r="S8" s="52" t="s">
        <v>236</v>
      </c>
      <c r="T8" s="52" t="s">
        <v>237</v>
      </c>
      <c r="U8" s="52" t="s">
        <v>298</v>
      </c>
      <c r="V8" s="52" t="s">
        <v>238</v>
      </c>
      <c r="W8" s="52" t="s">
        <v>298</v>
      </c>
      <c r="X8" s="52" t="s">
        <v>298</v>
      </c>
      <c r="Y8" s="52" t="s">
        <v>240</v>
      </c>
      <c r="Z8" s="52" t="s">
        <v>562</v>
      </c>
      <c r="AA8" s="52" t="s">
        <v>333</v>
      </c>
      <c r="AB8" s="52" t="s">
        <v>243</v>
      </c>
      <c r="AC8" s="52" t="s">
        <v>563</v>
      </c>
      <c r="AD8" s="52" t="s">
        <v>245</v>
      </c>
      <c r="AE8" s="52" t="s">
        <v>564</v>
      </c>
      <c r="AF8" s="52" t="s">
        <v>335</v>
      </c>
      <c r="AG8" s="52" t="s">
        <v>336</v>
      </c>
      <c r="AH8" s="52" t="s">
        <v>301</v>
      </c>
      <c r="AI8" s="52" t="s">
        <v>565</v>
      </c>
      <c r="AJ8" s="52" t="s">
        <v>563</v>
      </c>
      <c r="AK8" s="52" t="s">
        <v>566</v>
      </c>
      <c r="AL8" s="52" t="s">
        <v>304</v>
      </c>
      <c r="AM8" s="52" t="s">
        <v>305</v>
      </c>
      <c r="AN8" s="52" t="s">
        <v>254</v>
      </c>
      <c r="AO8" s="52" t="s">
        <v>338</v>
      </c>
      <c r="AP8" s="52" t="s">
        <v>256</v>
      </c>
      <c r="AQ8" s="52"/>
      <c r="AR8" s="52"/>
      <c r="AS8" s="52"/>
      <c r="AT8" s="52"/>
      <c r="AU8" s="52" t="s">
        <v>256</v>
      </c>
      <c r="AV8" s="52"/>
      <c r="AW8" s="52"/>
      <c r="AX8" s="52" t="s">
        <v>256</v>
      </c>
      <c r="AY8" s="52"/>
      <c r="AZ8" s="52"/>
      <c r="BA8" s="52"/>
      <c r="BB8" s="52"/>
      <c r="BC8" s="52" t="s">
        <v>256</v>
      </c>
      <c r="BD8" s="52" t="s">
        <v>256</v>
      </c>
      <c r="BE8" s="52" t="s">
        <v>563</v>
      </c>
      <c r="BF8" s="52" t="s">
        <v>256</v>
      </c>
      <c r="BG8" s="52" t="s">
        <v>256</v>
      </c>
      <c r="BH8" s="52" t="s">
        <v>256</v>
      </c>
      <c r="BI8" s="52" t="s">
        <v>256</v>
      </c>
      <c r="BJ8" s="52" t="s">
        <v>256</v>
      </c>
      <c r="BK8" s="52" t="s">
        <v>256</v>
      </c>
      <c r="BL8" s="52"/>
      <c r="BM8" s="52"/>
      <c r="BN8" s="52"/>
      <c r="BO8" s="52"/>
      <c r="BP8" s="52"/>
      <c r="BQ8" s="52"/>
      <c r="BR8" s="52"/>
      <c r="BS8" s="52" t="s">
        <v>257</v>
      </c>
      <c r="BT8" s="52" t="s">
        <v>339</v>
      </c>
      <c r="BU8" s="52" t="s">
        <v>259</v>
      </c>
      <c r="BV8" s="52" t="s">
        <v>340</v>
      </c>
      <c r="BW8" s="52" t="s">
        <v>341</v>
      </c>
      <c r="BX8" s="52" t="s">
        <v>563</v>
      </c>
      <c r="BY8" s="52" t="s">
        <v>277</v>
      </c>
      <c r="BZ8" s="52" t="s">
        <v>342</v>
      </c>
      <c r="CA8" s="52" t="s">
        <v>261</v>
      </c>
      <c r="CB8" s="52" t="s">
        <v>261</v>
      </c>
      <c r="CC8" s="52" t="s">
        <v>261</v>
      </c>
      <c r="CD8" s="52" t="s">
        <v>256</v>
      </c>
      <c r="CE8" s="52" t="s">
        <v>567</v>
      </c>
      <c r="CF8" s="52" t="s">
        <v>563</v>
      </c>
      <c r="CG8" s="54">
        <v>2</v>
      </c>
      <c r="CH8" s="52" t="s">
        <v>563</v>
      </c>
      <c r="CI8" s="52" t="s">
        <v>256</v>
      </c>
      <c r="CJ8" s="52" t="s">
        <v>263</v>
      </c>
      <c r="CK8" s="52" t="s">
        <v>313</v>
      </c>
      <c r="CL8" s="52" t="s">
        <v>568</v>
      </c>
      <c r="CM8" s="52" t="s">
        <v>314</v>
      </c>
      <c r="CN8" s="52" t="s">
        <v>256</v>
      </c>
      <c r="CO8" s="52"/>
      <c r="CP8" s="52" t="s">
        <v>563</v>
      </c>
      <c r="CQ8" s="52" t="s">
        <v>569</v>
      </c>
      <c r="CR8" s="52" t="s">
        <v>268</v>
      </c>
      <c r="CS8" s="52" t="s">
        <v>570</v>
      </c>
      <c r="CT8" s="52" t="s">
        <v>256</v>
      </c>
      <c r="CU8" s="52" t="s">
        <v>344</v>
      </c>
      <c r="CV8" s="52" t="s">
        <v>571</v>
      </c>
      <c r="CW8" s="52" t="s">
        <v>272</v>
      </c>
      <c r="CX8" s="52"/>
      <c r="CY8" s="52" t="s">
        <v>236</v>
      </c>
      <c r="CZ8" s="52" t="s">
        <v>346</v>
      </c>
      <c r="DA8" s="52" t="s">
        <v>256</v>
      </c>
      <c r="DB8" s="52" t="s">
        <v>256</v>
      </c>
      <c r="DC8" s="52" t="s">
        <v>572</v>
      </c>
      <c r="DD8" s="52" t="s">
        <v>268</v>
      </c>
      <c r="DE8" s="52" t="s">
        <v>573</v>
      </c>
      <c r="DF8" s="52" t="s">
        <v>256</v>
      </c>
      <c r="DG8" s="52" t="s">
        <v>236</v>
      </c>
      <c r="DH8" s="52" t="s">
        <v>255</v>
      </c>
      <c r="DI8" s="52" t="s">
        <v>236</v>
      </c>
      <c r="DJ8" s="52" t="s">
        <v>256</v>
      </c>
      <c r="DK8" s="52" t="s">
        <v>256</v>
      </c>
      <c r="DL8" s="52" t="s">
        <v>276</v>
      </c>
      <c r="DM8" s="52" t="s">
        <v>277</v>
      </c>
      <c r="DN8" s="52" t="s">
        <v>276</v>
      </c>
      <c r="DO8" s="52" t="s">
        <v>255</v>
      </c>
      <c r="DP8" s="52" t="s">
        <v>255</v>
      </c>
      <c r="DQ8" s="52" t="s">
        <v>276</v>
      </c>
      <c r="DR8" s="52" t="s">
        <v>255</v>
      </c>
      <c r="DS8" s="52" t="s">
        <v>255</v>
      </c>
      <c r="DT8" s="52" t="s">
        <v>255</v>
      </c>
      <c r="DU8" s="52" t="s">
        <v>255</v>
      </c>
      <c r="DV8" s="52" t="s">
        <v>255</v>
      </c>
      <c r="DW8" s="52" t="s">
        <v>255</v>
      </c>
      <c r="DX8" s="52" t="s">
        <v>277</v>
      </c>
      <c r="DY8" s="52" t="s">
        <v>277</v>
      </c>
      <c r="DZ8" s="52" t="s">
        <v>277</v>
      </c>
      <c r="EA8" s="52" t="s">
        <v>276</v>
      </c>
      <c r="EB8" s="52" t="s">
        <v>255</v>
      </c>
      <c r="EC8" s="52" t="s">
        <v>277</v>
      </c>
      <c r="ED8" s="52" t="s">
        <v>255</v>
      </c>
      <c r="EE8" s="52" t="s">
        <v>255</v>
      </c>
      <c r="EF8" s="52" t="s">
        <v>277</v>
      </c>
      <c r="EG8" s="52" t="s">
        <v>255</v>
      </c>
      <c r="EH8" s="52" t="s">
        <v>255</v>
      </c>
      <c r="EI8" s="52" t="s">
        <v>277</v>
      </c>
      <c r="EJ8" s="52" t="s">
        <v>255</v>
      </c>
      <c r="EK8" s="52" t="s">
        <v>255</v>
      </c>
      <c r="EL8" s="52" t="s">
        <v>255</v>
      </c>
      <c r="EM8" s="52" t="s">
        <v>255</v>
      </c>
      <c r="EN8" s="52" t="s">
        <v>255</v>
      </c>
      <c r="EO8" s="52" t="s">
        <v>255</v>
      </c>
      <c r="EP8" s="52" t="s">
        <v>276</v>
      </c>
      <c r="EQ8" s="52" t="s">
        <v>277</v>
      </c>
      <c r="ER8" s="52" t="s">
        <v>276</v>
      </c>
      <c r="ES8" s="52" t="s">
        <v>255</v>
      </c>
      <c r="ET8" s="52" t="s">
        <v>255</v>
      </c>
      <c r="EU8" s="52" t="s">
        <v>255</v>
      </c>
      <c r="EV8" s="52" t="s">
        <v>276</v>
      </c>
      <c r="EW8" s="52" t="s">
        <v>277</v>
      </c>
      <c r="EX8" s="52" t="s">
        <v>255</v>
      </c>
      <c r="EY8" s="52" t="s">
        <v>255</v>
      </c>
      <c r="EZ8" s="52" t="s">
        <v>277</v>
      </c>
      <c r="FA8" s="52" t="s">
        <v>278</v>
      </c>
      <c r="FB8" s="52" t="s">
        <v>256</v>
      </c>
      <c r="FC8" s="52" t="s">
        <v>255</v>
      </c>
      <c r="FD8" s="52" t="s">
        <v>268</v>
      </c>
      <c r="FE8" s="52" t="s">
        <v>563</v>
      </c>
      <c r="FF8" s="52" t="s">
        <v>278</v>
      </c>
      <c r="FG8" s="52" t="s">
        <v>256</v>
      </c>
      <c r="FH8" s="52" t="s">
        <v>255</v>
      </c>
      <c r="FI8" s="52" t="s">
        <v>268</v>
      </c>
      <c r="FJ8" s="52" t="s">
        <v>256</v>
      </c>
      <c r="FK8" s="52" t="s">
        <v>255</v>
      </c>
      <c r="FL8" s="52" t="s">
        <v>256</v>
      </c>
      <c r="FM8" s="52" t="s">
        <v>255</v>
      </c>
      <c r="FN8" s="52" t="s">
        <v>256</v>
      </c>
      <c r="FO8" s="52" t="s">
        <v>256</v>
      </c>
      <c r="FP8" s="52" t="s">
        <v>255</v>
      </c>
      <c r="FQ8" s="52" t="s">
        <v>256</v>
      </c>
      <c r="FR8" s="52" t="s">
        <v>255</v>
      </c>
      <c r="FS8" s="52" t="s">
        <v>256</v>
      </c>
      <c r="FT8" s="52" t="s">
        <v>280</v>
      </c>
      <c r="FU8" s="52" t="s">
        <v>281</v>
      </c>
      <c r="FV8" s="52" t="s">
        <v>281</v>
      </c>
      <c r="FW8" s="52" t="s">
        <v>255</v>
      </c>
      <c r="FX8" s="52" t="s">
        <v>255</v>
      </c>
      <c r="FY8" s="52" t="s">
        <v>255</v>
      </c>
      <c r="FZ8" s="52" t="s">
        <v>282</v>
      </c>
      <c r="GA8" s="52" t="s">
        <v>255</v>
      </c>
      <c r="GB8" s="52" t="s">
        <v>255</v>
      </c>
      <c r="GC8" s="52" t="s">
        <v>255</v>
      </c>
      <c r="GD8" s="52" t="s">
        <v>255</v>
      </c>
      <c r="GE8" s="52" t="s">
        <v>255</v>
      </c>
      <c r="GF8" s="52" t="s">
        <v>255</v>
      </c>
      <c r="GG8" s="52" t="s">
        <v>255</v>
      </c>
      <c r="GH8" s="52" t="s">
        <v>255</v>
      </c>
      <c r="GI8" s="52" t="s">
        <v>255</v>
      </c>
      <c r="GJ8" s="52" t="s">
        <v>255</v>
      </c>
      <c r="GK8" s="52" t="s">
        <v>280</v>
      </c>
      <c r="GL8" s="52" t="s">
        <v>255</v>
      </c>
      <c r="GM8" s="52" t="s">
        <v>255</v>
      </c>
      <c r="GN8" s="52" t="s">
        <v>255</v>
      </c>
      <c r="GO8" s="52" t="s">
        <v>255</v>
      </c>
      <c r="GP8" s="52" t="s">
        <v>255</v>
      </c>
      <c r="GQ8" s="52" t="s">
        <v>324</v>
      </c>
      <c r="GR8" s="52" t="s">
        <v>324</v>
      </c>
      <c r="GS8" s="52" t="s">
        <v>255</v>
      </c>
      <c r="GT8" s="52" t="s">
        <v>324</v>
      </c>
      <c r="GU8" s="52" t="s">
        <v>324</v>
      </c>
      <c r="GV8" s="52" t="s">
        <v>255</v>
      </c>
      <c r="GW8" s="52" t="s">
        <v>325</v>
      </c>
      <c r="GX8" s="52" t="s">
        <v>563</v>
      </c>
      <c r="GY8" s="52" t="s">
        <v>256</v>
      </c>
      <c r="GZ8" s="52" t="s">
        <v>256</v>
      </c>
      <c r="HA8" s="52" t="s">
        <v>256</v>
      </c>
      <c r="HB8" s="52" t="s">
        <v>256</v>
      </c>
      <c r="HC8" s="52" t="s">
        <v>256</v>
      </c>
      <c r="HD8" s="52" t="s">
        <v>563</v>
      </c>
      <c r="HE8" s="52" t="s">
        <v>563</v>
      </c>
      <c r="HF8" s="52" t="s">
        <v>256</v>
      </c>
      <c r="HG8" s="52" t="s">
        <v>256</v>
      </c>
      <c r="HH8" s="52" t="s">
        <v>563</v>
      </c>
      <c r="HI8" s="52" t="s">
        <v>256</v>
      </c>
      <c r="HJ8" s="52" t="s">
        <v>563</v>
      </c>
      <c r="HK8" s="52" t="s">
        <v>256</v>
      </c>
      <c r="HL8" s="52" t="s">
        <v>563</v>
      </c>
      <c r="HM8" s="52" t="s">
        <v>563</v>
      </c>
      <c r="HN8" s="52" t="s">
        <v>256</v>
      </c>
      <c r="HO8" s="55" t="s">
        <v>256</v>
      </c>
    </row>
    <row r="9" spans="1:223" s="50" customFormat="1" ht="36" customHeight="1" thickBot="1" x14ac:dyDescent="0.3">
      <c r="A9" s="50">
        <v>7</v>
      </c>
      <c r="B9" s="51" t="s">
        <v>574</v>
      </c>
      <c r="C9" s="52" t="s">
        <v>575</v>
      </c>
      <c r="D9" s="53">
        <v>29564</v>
      </c>
      <c r="E9" s="52" t="s">
        <v>576</v>
      </c>
      <c r="F9" s="52" t="s">
        <v>577</v>
      </c>
      <c r="G9" s="52" t="s">
        <v>291</v>
      </c>
      <c r="H9" s="52" t="s">
        <v>227</v>
      </c>
      <c r="I9" s="52" t="s">
        <v>415</v>
      </c>
      <c r="J9" s="52" t="s">
        <v>578</v>
      </c>
      <c r="K9" s="52" t="s">
        <v>579</v>
      </c>
      <c r="L9" s="52" t="s">
        <v>580</v>
      </c>
      <c r="M9" s="52" t="s">
        <v>426</v>
      </c>
      <c r="N9" s="52" t="s">
        <v>427</v>
      </c>
      <c r="O9" s="52" t="s">
        <v>233</v>
      </c>
      <c r="P9" s="52">
        <v>3</v>
      </c>
      <c r="Q9" s="52" t="s">
        <v>332</v>
      </c>
      <c r="R9" s="52" t="s">
        <v>296</v>
      </c>
      <c r="S9" s="52" t="s">
        <v>355</v>
      </c>
      <c r="T9" s="52" t="s">
        <v>297</v>
      </c>
      <c r="U9" s="52" t="s">
        <v>298</v>
      </c>
      <c r="V9" s="52" t="s">
        <v>298</v>
      </c>
      <c r="W9" s="52" t="s">
        <v>298</v>
      </c>
      <c r="X9" s="52" t="s">
        <v>298</v>
      </c>
      <c r="Y9" s="52" t="s">
        <v>356</v>
      </c>
      <c r="Z9" s="52" t="s">
        <v>581</v>
      </c>
      <c r="AA9" s="52" t="s">
        <v>333</v>
      </c>
      <c r="AB9" s="52" t="s">
        <v>243</v>
      </c>
      <c r="AC9" s="52" t="s">
        <v>256</v>
      </c>
      <c r="AD9" s="52" t="s">
        <v>245</v>
      </c>
      <c r="AE9" s="52" t="s">
        <v>246</v>
      </c>
      <c r="AF9" s="52" t="s">
        <v>247</v>
      </c>
      <c r="AG9" s="52" t="s">
        <v>248</v>
      </c>
      <c r="AH9" s="52" t="s">
        <v>249</v>
      </c>
      <c r="AI9" s="52" t="s">
        <v>250</v>
      </c>
      <c r="AJ9" s="52" t="s">
        <v>256</v>
      </c>
      <c r="AK9" s="52"/>
      <c r="AL9" s="52"/>
      <c r="AM9" s="52"/>
      <c r="AN9" s="52"/>
      <c r="AO9" s="52" t="s">
        <v>338</v>
      </c>
      <c r="AP9" s="52" t="s">
        <v>256</v>
      </c>
      <c r="AQ9" s="52"/>
      <c r="AR9" s="52"/>
      <c r="AS9" s="52"/>
      <c r="AT9" s="52"/>
      <c r="AU9" s="52" t="s">
        <v>256</v>
      </c>
      <c r="AV9" s="52"/>
      <c r="AW9" s="52"/>
      <c r="AX9" s="52" t="s">
        <v>256</v>
      </c>
      <c r="AY9" s="52"/>
      <c r="AZ9" s="52"/>
      <c r="BA9" s="52"/>
      <c r="BB9" s="52"/>
      <c r="BC9" s="52" t="s">
        <v>563</v>
      </c>
      <c r="BD9" s="52" t="s">
        <v>563</v>
      </c>
      <c r="BE9" s="52" t="s">
        <v>563</v>
      </c>
      <c r="BF9" s="52" t="s">
        <v>256</v>
      </c>
      <c r="BG9" s="52" t="s">
        <v>256</v>
      </c>
      <c r="BH9" s="52" t="s">
        <v>256</v>
      </c>
      <c r="BI9" s="52" t="s">
        <v>256</v>
      </c>
      <c r="BJ9" s="52" t="s">
        <v>256</v>
      </c>
      <c r="BK9" s="52" t="s">
        <v>256</v>
      </c>
      <c r="BL9" s="52"/>
      <c r="BM9" s="52"/>
      <c r="BN9" s="52"/>
      <c r="BO9" s="52"/>
      <c r="BP9" s="52"/>
      <c r="BQ9" s="52"/>
      <c r="BR9" s="52"/>
      <c r="BS9" s="52" t="s">
        <v>357</v>
      </c>
      <c r="BT9" s="52" t="s">
        <v>339</v>
      </c>
      <c r="BU9" s="52" t="s">
        <v>259</v>
      </c>
      <c r="BV9" s="52" t="s">
        <v>340</v>
      </c>
      <c r="BW9" s="52" t="s">
        <v>308</v>
      </c>
      <c r="BX9" s="52" t="s">
        <v>256</v>
      </c>
      <c r="BY9" s="52" t="s">
        <v>309</v>
      </c>
      <c r="BZ9" s="52" t="s">
        <v>342</v>
      </c>
      <c r="CA9" s="52" t="s">
        <v>261</v>
      </c>
      <c r="CB9" s="52" t="s">
        <v>261</v>
      </c>
      <c r="CC9" s="52" t="s">
        <v>261</v>
      </c>
      <c r="CD9" s="52" t="s">
        <v>256</v>
      </c>
      <c r="CE9" s="52" t="s">
        <v>582</v>
      </c>
      <c r="CF9" s="52" t="s">
        <v>563</v>
      </c>
      <c r="CG9" s="54">
        <v>2</v>
      </c>
      <c r="CH9" s="52" t="s">
        <v>256</v>
      </c>
      <c r="CI9" s="52" t="s">
        <v>256</v>
      </c>
      <c r="CJ9" s="52" t="s">
        <v>263</v>
      </c>
      <c r="CK9" s="52" t="s">
        <v>313</v>
      </c>
      <c r="CL9" s="52" t="s">
        <v>583</v>
      </c>
      <c r="CM9" s="52" t="s">
        <v>266</v>
      </c>
      <c r="CN9" s="52" t="s">
        <v>256</v>
      </c>
      <c r="CO9" s="52" t="s">
        <v>584</v>
      </c>
      <c r="CP9" s="52" t="s">
        <v>563</v>
      </c>
      <c r="CQ9" s="52" t="s">
        <v>278</v>
      </c>
      <c r="CR9" s="52" t="s">
        <v>268</v>
      </c>
      <c r="CS9" s="52"/>
      <c r="CT9" s="52" t="s">
        <v>268</v>
      </c>
      <c r="CU9" s="52" t="s">
        <v>585</v>
      </c>
      <c r="CV9" s="52" t="s">
        <v>586</v>
      </c>
      <c r="CW9" s="52" t="s">
        <v>587</v>
      </c>
      <c r="CX9" s="52" t="s">
        <v>584</v>
      </c>
      <c r="CY9" s="52" t="s">
        <v>256</v>
      </c>
      <c r="CZ9" s="52" t="s">
        <v>584</v>
      </c>
      <c r="DA9" s="52" t="s">
        <v>584</v>
      </c>
      <c r="DB9" s="52" t="s">
        <v>268</v>
      </c>
      <c r="DC9" s="52" t="s">
        <v>584</v>
      </c>
      <c r="DD9" s="52" t="s">
        <v>268</v>
      </c>
      <c r="DE9" s="52" t="s">
        <v>584</v>
      </c>
      <c r="DF9" s="52" t="s">
        <v>563</v>
      </c>
      <c r="DG9" s="52" t="s">
        <v>584</v>
      </c>
      <c r="DH9" s="52" t="s">
        <v>278</v>
      </c>
      <c r="DI9" s="52" t="s">
        <v>588</v>
      </c>
      <c r="DJ9" s="52" t="s">
        <v>256</v>
      </c>
      <c r="DK9" s="52" t="s">
        <v>256</v>
      </c>
      <c r="DL9" s="52" t="s">
        <v>277</v>
      </c>
      <c r="DM9" s="52" t="s">
        <v>277</v>
      </c>
      <c r="DN9" s="52" t="s">
        <v>277</v>
      </c>
      <c r="DO9" s="52" t="s">
        <v>277</v>
      </c>
      <c r="DP9" s="52" t="s">
        <v>277</v>
      </c>
      <c r="DQ9" s="52" t="s">
        <v>277</v>
      </c>
      <c r="DR9" s="52" t="s">
        <v>277</v>
      </c>
      <c r="DS9" s="52" t="s">
        <v>277</v>
      </c>
      <c r="DT9" s="52" t="s">
        <v>277</v>
      </c>
      <c r="DU9" s="52" t="s">
        <v>277</v>
      </c>
      <c r="DV9" s="52" t="s">
        <v>277</v>
      </c>
      <c r="DW9" s="52" t="s">
        <v>277</v>
      </c>
      <c r="DX9" s="52" t="s">
        <v>277</v>
      </c>
      <c r="DY9" s="52" t="s">
        <v>277</v>
      </c>
      <c r="DZ9" s="52" t="s">
        <v>277</v>
      </c>
      <c r="EA9" s="52" t="s">
        <v>277</v>
      </c>
      <c r="EB9" s="52" t="s">
        <v>277</v>
      </c>
      <c r="EC9" s="52" t="s">
        <v>277</v>
      </c>
      <c r="ED9" s="52" t="s">
        <v>277</v>
      </c>
      <c r="EE9" s="52" t="s">
        <v>277</v>
      </c>
      <c r="EF9" s="52" t="s">
        <v>277</v>
      </c>
      <c r="EG9" s="52" t="s">
        <v>277</v>
      </c>
      <c r="EH9" s="52" t="s">
        <v>277</v>
      </c>
      <c r="EI9" s="52" t="s">
        <v>277</v>
      </c>
      <c r="EJ9" s="52" t="s">
        <v>277</v>
      </c>
      <c r="EK9" s="52" t="s">
        <v>277</v>
      </c>
      <c r="EL9" s="52" t="s">
        <v>277</v>
      </c>
      <c r="EM9" s="52" t="s">
        <v>277</v>
      </c>
      <c r="EN9" s="52" t="s">
        <v>277</v>
      </c>
      <c r="EO9" s="52" t="s">
        <v>277</v>
      </c>
      <c r="EP9" s="52" t="s">
        <v>277</v>
      </c>
      <c r="EQ9" s="52" t="s">
        <v>277</v>
      </c>
      <c r="ER9" s="52" t="s">
        <v>277</v>
      </c>
      <c r="ES9" s="52" t="s">
        <v>277</v>
      </c>
      <c r="ET9" s="52" t="s">
        <v>277</v>
      </c>
      <c r="EU9" s="52" t="s">
        <v>277</v>
      </c>
      <c r="EV9" s="52" t="s">
        <v>277</v>
      </c>
      <c r="EW9" s="52" t="s">
        <v>277</v>
      </c>
      <c r="EX9" s="52" t="s">
        <v>277</v>
      </c>
      <c r="EY9" s="52" t="s">
        <v>277</v>
      </c>
      <c r="EZ9" s="52" t="s">
        <v>277</v>
      </c>
      <c r="FA9" s="52" t="s">
        <v>278</v>
      </c>
      <c r="FB9" s="52" t="s">
        <v>256</v>
      </c>
      <c r="FC9" s="52" t="s">
        <v>315</v>
      </c>
      <c r="FD9" s="52" t="s">
        <v>256</v>
      </c>
      <c r="FE9" s="52" t="s">
        <v>277</v>
      </c>
      <c r="FF9" s="52" t="s">
        <v>278</v>
      </c>
      <c r="FG9" s="52" t="s">
        <v>256</v>
      </c>
      <c r="FH9" s="52" t="s">
        <v>315</v>
      </c>
      <c r="FI9" s="52" t="s">
        <v>268</v>
      </c>
      <c r="FJ9" s="52" t="s">
        <v>277</v>
      </c>
      <c r="FK9" s="52" t="s">
        <v>279</v>
      </c>
      <c r="FL9" s="52" t="s">
        <v>277</v>
      </c>
      <c r="FM9" s="52" t="s">
        <v>279</v>
      </c>
      <c r="FN9" s="52" t="s">
        <v>268</v>
      </c>
      <c r="FO9" s="52" t="s">
        <v>256</v>
      </c>
      <c r="FP9" s="52" t="s">
        <v>255</v>
      </c>
      <c r="FQ9" s="52" t="s">
        <v>256</v>
      </c>
      <c r="FR9" s="52" t="s">
        <v>278</v>
      </c>
      <c r="FS9" s="52" t="s">
        <v>268</v>
      </c>
      <c r="FT9" s="52" t="s">
        <v>589</v>
      </c>
      <c r="FU9" s="52" t="s">
        <v>283</v>
      </c>
      <c r="FV9" s="52" t="s">
        <v>283</v>
      </c>
      <c r="FW9" s="52" t="s">
        <v>282</v>
      </c>
      <c r="FX9" s="52" t="s">
        <v>283</v>
      </c>
      <c r="FY9" s="52" t="s">
        <v>283</v>
      </c>
      <c r="FZ9" s="52" t="s">
        <v>283</v>
      </c>
      <c r="GA9" s="52" t="s">
        <v>282</v>
      </c>
      <c r="GB9" s="52" t="s">
        <v>282</v>
      </c>
      <c r="GC9" s="52" t="s">
        <v>282</v>
      </c>
      <c r="GD9" s="52" t="s">
        <v>282</v>
      </c>
      <c r="GE9" s="52" t="s">
        <v>282</v>
      </c>
      <c r="GF9" s="52" t="s">
        <v>283</v>
      </c>
      <c r="GG9" s="52" t="s">
        <v>282</v>
      </c>
      <c r="GH9" s="52" t="s">
        <v>282</v>
      </c>
      <c r="GI9" s="52" t="s">
        <v>283</v>
      </c>
      <c r="GJ9" s="52" t="s">
        <v>282</v>
      </c>
      <c r="GK9" s="52" t="s">
        <v>282</v>
      </c>
      <c r="GL9" s="52" t="s">
        <v>282</v>
      </c>
      <c r="GM9" s="52" t="s">
        <v>280</v>
      </c>
      <c r="GN9" s="52" t="s">
        <v>283</v>
      </c>
      <c r="GO9" s="52" t="s">
        <v>282</v>
      </c>
      <c r="GP9" s="52" t="s">
        <v>283</v>
      </c>
      <c r="GQ9" s="52" t="s">
        <v>510</v>
      </c>
      <c r="GR9" s="52" t="s">
        <v>514</v>
      </c>
      <c r="GS9" s="52" t="s">
        <v>283</v>
      </c>
      <c r="GT9" s="52" t="s">
        <v>510</v>
      </c>
      <c r="GU9" s="52" t="s">
        <v>516</v>
      </c>
      <c r="GV9" s="52" t="s">
        <v>282</v>
      </c>
      <c r="GW9" s="52" t="s">
        <v>518</v>
      </c>
      <c r="GX9" s="52" t="s">
        <v>256</v>
      </c>
      <c r="GY9" s="52" t="s">
        <v>256</v>
      </c>
      <c r="GZ9" s="52" t="s">
        <v>563</v>
      </c>
      <c r="HA9" s="52" t="s">
        <v>563</v>
      </c>
      <c r="HB9" s="52" t="s">
        <v>256</v>
      </c>
      <c r="HC9" s="52" t="s">
        <v>563</v>
      </c>
      <c r="HD9" s="52" t="s">
        <v>563</v>
      </c>
      <c r="HE9" s="52" t="s">
        <v>563</v>
      </c>
      <c r="HF9" s="52" t="s">
        <v>256</v>
      </c>
      <c r="HG9" s="52" t="s">
        <v>256</v>
      </c>
      <c r="HH9" s="52" t="s">
        <v>563</v>
      </c>
      <c r="HI9" s="52" t="s">
        <v>563</v>
      </c>
      <c r="HJ9" s="52" t="s">
        <v>563</v>
      </c>
      <c r="HK9" s="52" t="s">
        <v>256</v>
      </c>
      <c r="HL9" s="52" t="s">
        <v>563</v>
      </c>
      <c r="HM9" s="52" t="s">
        <v>256</v>
      </c>
      <c r="HN9" s="52" t="s">
        <v>256</v>
      </c>
      <c r="HO9" s="55" t="s">
        <v>563</v>
      </c>
    </row>
    <row r="10" spans="1:223" ht="14.25" customHeight="1" x14ac:dyDescent="0.25">
      <c r="A10">
        <v>8</v>
      </c>
      <c r="B10" t="s">
        <v>590</v>
      </c>
      <c r="C10" t="s">
        <v>600</v>
      </c>
      <c r="D10" s="56">
        <v>33994</v>
      </c>
      <c r="E10" t="s">
        <v>591</v>
      </c>
      <c r="F10" t="s">
        <v>592</v>
      </c>
      <c r="G10" t="s">
        <v>226</v>
      </c>
      <c r="H10" t="s">
        <v>292</v>
      </c>
      <c r="I10" t="s">
        <v>228</v>
      </c>
      <c r="J10" t="s">
        <v>229</v>
      </c>
      <c r="K10" t="s">
        <v>593</v>
      </c>
      <c r="L10" t="s">
        <v>561</v>
      </c>
      <c r="M10" t="s">
        <v>231</v>
      </c>
      <c r="N10" t="s">
        <v>295</v>
      </c>
      <c r="O10" t="s">
        <v>594</v>
      </c>
      <c r="P10" t="s">
        <v>353</v>
      </c>
      <c r="Q10" t="s">
        <v>236</v>
      </c>
      <c r="R10" t="s">
        <v>354</v>
      </c>
      <c r="S10" t="s">
        <v>355</v>
      </c>
      <c r="T10" t="s">
        <v>237</v>
      </c>
      <c r="U10" t="s">
        <v>239</v>
      </c>
      <c r="V10" t="s">
        <v>298</v>
      </c>
      <c r="W10" t="s">
        <v>238</v>
      </c>
      <c r="X10" t="s">
        <v>298</v>
      </c>
      <c r="Y10" t="s">
        <v>356</v>
      </c>
      <c r="Z10" t="s">
        <v>562</v>
      </c>
      <c r="AA10" t="s">
        <v>242</v>
      </c>
      <c r="AB10" t="s">
        <v>243</v>
      </c>
      <c r="AC10" t="s">
        <v>563</v>
      </c>
      <c r="AD10" t="s">
        <v>245</v>
      </c>
      <c r="AE10" t="s">
        <v>246</v>
      </c>
      <c r="AF10" t="s">
        <v>247</v>
      </c>
      <c r="AG10" t="s">
        <v>248</v>
      </c>
      <c r="AH10" t="s">
        <v>249</v>
      </c>
      <c r="AI10" t="s">
        <v>250</v>
      </c>
      <c r="AJ10" t="s">
        <v>256</v>
      </c>
      <c r="AO10" t="s">
        <v>255</v>
      </c>
      <c r="AP10" t="s">
        <v>256</v>
      </c>
      <c r="AU10" t="s">
        <v>256</v>
      </c>
      <c r="AX10" t="s">
        <v>256</v>
      </c>
      <c r="BC10" t="s">
        <v>256</v>
      </c>
      <c r="BD10" t="s">
        <v>256</v>
      </c>
      <c r="BE10" t="s">
        <v>563</v>
      </c>
      <c r="BF10" t="s">
        <v>256</v>
      </c>
      <c r="BG10" t="s">
        <v>256</v>
      </c>
      <c r="BH10" t="s">
        <v>256</v>
      </c>
      <c r="BI10" t="s">
        <v>256</v>
      </c>
      <c r="BJ10" t="s">
        <v>256</v>
      </c>
      <c r="BK10" t="s">
        <v>256</v>
      </c>
      <c r="BS10" t="s">
        <v>357</v>
      </c>
      <c r="BT10" t="s">
        <v>306</v>
      </c>
      <c r="BU10" t="s">
        <v>358</v>
      </c>
      <c r="BV10" t="s">
        <v>340</v>
      </c>
      <c r="BW10" t="s">
        <v>260</v>
      </c>
      <c r="BX10" t="s">
        <v>563</v>
      </c>
      <c r="BY10" t="s">
        <v>309</v>
      </c>
      <c r="BZ10" t="s">
        <v>310</v>
      </c>
      <c r="CA10" t="s">
        <v>261</v>
      </c>
      <c r="CB10" t="s">
        <v>261</v>
      </c>
      <c r="CC10" t="s">
        <v>261</v>
      </c>
      <c r="CD10" t="s">
        <v>256</v>
      </c>
      <c r="CE10" t="s">
        <v>567</v>
      </c>
      <c r="CF10" t="s">
        <v>563</v>
      </c>
      <c r="CG10">
        <v>1</v>
      </c>
      <c r="CH10" t="s">
        <v>563</v>
      </c>
      <c r="CI10" t="s">
        <v>563</v>
      </c>
      <c r="CJ10" t="s">
        <v>263</v>
      </c>
      <c r="CK10" t="s">
        <v>359</v>
      </c>
      <c r="CL10" t="s">
        <v>568</v>
      </c>
      <c r="CM10" t="s">
        <v>314</v>
      </c>
      <c r="CN10" t="s">
        <v>256</v>
      </c>
      <c r="CP10" t="s">
        <v>563</v>
      </c>
      <c r="CQ10" t="s">
        <v>278</v>
      </c>
      <c r="CR10" t="s">
        <v>268</v>
      </c>
      <c r="CS10" t="s">
        <v>595</v>
      </c>
      <c r="CT10" t="s">
        <v>268</v>
      </c>
      <c r="CU10" t="s">
        <v>596</v>
      </c>
      <c r="CV10" t="s">
        <v>597</v>
      </c>
      <c r="CW10" t="s">
        <v>272</v>
      </c>
      <c r="CY10" t="s">
        <v>236</v>
      </c>
      <c r="CZ10" t="s">
        <v>598</v>
      </c>
      <c r="DA10" t="s">
        <v>361</v>
      </c>
      <c r="DB10" t="s">
        <v>256</v>
      </c>
      <c r="DC10" t="s">
        <v>361</v>
      </c>
      <c r="DD10" t="s">
        <v>256</v>
      </c>
      <c r="DE10" t="s">
        <v>362</v>
      </c>
      <c r="DF10" t="s">
        <v>256</v>
      </c>
      <c r="DG10" t="s">
        <v>599</v>
      </c>
      <c r="DH10" t="s">
        <v>255</v>
      </c>
      <c r="DI10" t="s">
        <v>236</v>
      </c>
      <c r="DJ10" t="s">
        <v>256</v>
      </c>
      <c r="DK10" t="s">
        <v>256</v>
      </c>
      <c r="DL10" t="s">
        <v>277</v>
      </c>
      <c r="DM10" t="s">
        <v>255</v>
      </c>
      <c r="DN10" t="s">
        <v>255</v>
      </c>
      <c r="DO10" t="s">
        <v>255</v>
      </c>
      <c r="DP10" t="s">
        <v>255</v>
      </c>
      <c r="DQ10" t="s">
        <v>255</v>
      </c>
      <c r="DR10" t="s">
        <v>277</v>
      </c>
      <c r="DS10" t="s">
        <v>255</v>
      </c>
      <c r="DT10" t="s">
        <v>277</v>
      </c>
      <c r="DU10" t="s">
        <v>277</v>
      </c>
      <c r="DV10" t="s">
        <v>255</v>
      </c>
      <c r="DW10" t="s">
        <v>255</v>
      </c>
      <c r="DX10" t="s">
        <v>276</v>
      </c>
      <c r="DY10" t="s">
        <v>277</v>
      </c>
      <c r="DZ10" t="s">
        <v>277</v>
      </c>
      <c r="EA10" t="s">
        <v>276</v>
      </c>
      <c r="EB10" t="s">
        <v>277</v>
      </c>
      <c r="EC10" t="s">
        <v>277</v>
      </c>
      <c r="ED10" t="s">
        <v>255</v>
      </c>
      <c r="EE10" t="s">
        <v>255</v>
      </c>
      <c r="EF10" t="s">
        <v>255</v>
      </c>
      <c r="EG10" t="s">
        <v>255</v>
      </c>
      <c r="EH10" t="s">
        <v>255</v>
      </c>
      <c r="EI10" t="s">
        <v>255</v>
      </c>
      <c r="EJ10" t="s">
        <v>255</v>
      </c>
      <c r="EK10" t="s">
        <v>255</v>
      </c>
      <c r="EL10" t="s">
        <v>255</v>
      </c>
      <c r="EM10" t="s">
        <v>255</v>
      </c>
      <c r="EN10" t="s">
        <v>277</v>
      </c>
      <c r="EO10" t="s">
        <v>255</v>
      </c>
      <c r="EP10" t="s">
        <v>255</v>
      </c>
      <c r="EQ10" t="s">
        <v>277</v>
      </c>
      <c r="ER10" t="s">
        <v>277</v>
      </c>
      <c r="ES10" t="s">
        <v>255</v>
      </c>
      <c r="ET10" t="s">
        <v>277</v>
      </c>
      <c r="EU10" t="s">
        <v>277</v>
      </c>
      <c r="EV10" t="s">
        <v>277</v>
      </c>
      <c r="EW10" t="s">
        <v>277</v>
      </c>
      <c r="EX10" t="s">
        <v>277</v>
      </c>
      <c r="EY10" t="s">
        <v>255</v>
      </c>
      <c r="EZ10" t="s">
        <v>268</v>
      </c>
      <c r="FA10" t="s">
        <v>315</v>
      </c>
      <c r="FB10" t="s">
        <v>256</v>
      </c>
      <c r="FC10" t="s">
        <v>255</v>
      </c>
      <c r="FD10" t="s">
        <v>268</v>
      </c>
      <c r="FE10" t="s">
        <v>277</v>
      </c>
      <c r="FF10" t="s">
        <v>278</v>
      </c>
      <c r="FG10" t="s">
        <v>256</v>
      </c>
      <c r="FH10" t="s">
        <v>255</v>
      </c>
      <c r="FI10" t="s">
        <v>268</v>
      </c>
      <c r="FJ10" t="s">
        <v>563</v>
      </c>
      <c r="FK10" t="s">
        <v>279</v>
      </c>
      <c r="FL10" t="s">
        <v>277</v>
      </c>
      <c r="FM10" t="s">
        <v>278</v>
      </c>
      <c r="FN10" t="s">
        <v>268</v>
      </c>
      <c r="FO10" t="s">
        <v>277</v>
      </c>
      <c r="FP10" t="s">
        <v>279</v>
      </c>
      <c r="FQ10" t="s">
        <v>256</v>
      </c>
      <c r="FR10" t="s">
        <v>255</v>
      </c>
      <c r="FS10" t="s">
        <v>256</v>
      </c>
      <c r="FT10" t="s">
        <v>280</v>
      </c>
      <c r="FU10" t="s">
        <v>281</v>
      </c>
      <c r="FV10" t="s">
        <v>281</v>
      </c>
      <c r="FW10" t="s">
        <v>255</v>
      </c>
      <c r="FX10" t="s">
        <v>255</v>
      </c>
      <c r="FY10" t="s">
        <v>255</v>
      </c>
      <c r="FZ10" t="s">
        <v>283</v>
      </c>
      <c r="GA10" t="s">
        <v>255</v>
      </c>
      <c r="GB10" t="s">
        <v>255</v>
      </c>
      <c r="GC10" t="s">
        <v>255</v>
      </c>
      <c r="GD10" t="s">
        <v>255</v>
      </c>
      <c r="GE10" t="s">
        <v>255</v>
      </c>
      <c r="GF10" t="s">
        <v>255</v>
      </c>
      <c r="GG10" t="s">
        <v>255</v>
      </c>
      <c r="GH10" t="s">
        <v>255</v>
      </c>
      <c r="GI10" t="s">
        <v>255</v>
      </c>
      <c r="GJ10" t="s">
        <v>255</v>
      </c>
      <c r="GK10" t="s">
        <v>280</v>
      </c>
      <c r="GL10" t="s">
        <v>255</v>
      </c>
      <c r="GM10" t="s">
        <v>255</v>
      </c>
      <c r="GN10" t="s">
        <v>255</v>
      </c>
      <c r="GO10" t="s">
        <v>255</v>
      </c>
      <c r="GP10" t="s">
        <v>255</v>
      </c>
      <c r="GQ10" t="s">
        <v>324</v>
      </c>
      <c r="GR10" t="s">
        <v>324</v>
      </c>
      <c r="GS10" t="s">
        <v>255</v>
      </c>
      <c r="GT10" t="s">
        <v>324</v>
      </c>
      <c r="GU10" t="s">
        <v>324</v>
      </c>
      <c r="GV10" t="s">
        <v>255</v>
      </c>
      <c r="GW10" t="s">
        <v>325</v>
      </c>
      <c r="GX10" t="s">
        <v>256</v>
      </c>
      <c r="GY10" t="s">
        <v>256</v>
      </c>
      <c r="GZ10" t="s">
        <v>256</v>
      </c>
      <c r="HA10" t="s">
        <v>256</v>
      </c>
      <c r="HB10" t="s">
        <v>256</v>
      </c>
      <c r="HC10" t="s">
        <v>256</v>
      </c>
      <c r="HD10" t="s">
        <v>256</v>
      </c>
      <c r="HE10" t="s">
        <v>256</v>
      </c>
      <c r="HF10" t="s">
        <v>256</v>
      </c>
      <c r="HG10" t="s">
        <v>256</v>
      </c>
      <c r="HH10" t="s">
        <v>256</v>
      </c>
      <c r="HI10" t="s">
        <v>256</v>
      </c>
      <c r="HJ10" t="s">
        <v>256</v>
      </c>
      <c r="HK10" t="s">
        <v>256</v>
      </c>
      <c r="HL10" t="s">
        <v>256</v>
      </c>
      <c r="HM10" t="s">
        <v>256</v>
      </c>
      <c r="HN10" t="s">
        <v>256</v>
      </c>
      <c r="HO10" t="s">
        <v>256</v>
      </c>
    </row>
    <row r="11" spans="1:223" ht="14.25" customHeight="1" x14ac:dyDescent="0.25">
      <c r="A11">
        <v>9</v>
      </c>
    </row>
    <row r="12" spans="1:223" ht="14.25" customHeight="1" x14ac:dyDescent="0.25"/>
    <row r="13" spans="1:223" ht="14.25" customHeight="1" x14ac:dyDescent="0.25"/>
    <row r="14" spans="1:223" ht="14.25" customHeight="1" x14ac:dyDescent="0.25"/>
    <row r="15" spans="1:223" ht="14.25" customHeight="1" x14ac:dyDescent="0.25"/>
    <row r="16" spans="1:2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sheetPr>
  <dimension ref="A1:N100"/>
  <sheetViews>
    <sheetView workbookViewId="0"/>
  </sheetViews>
  <sheetFormatPr baseColWidth="10" defaultColWidth="14.42578125" defaultRowHeight="15" customHeight="1" x14ac:dyDescent="0.25"/>
  <cols>
    <col min="1" max="12" width="10.7109375" customWidth="1"/>
    <col min="13" max="14" width="3.7109375" customWidth="1"/>
  </cols>
  <sheetData>
    <row r="1" spans="1:14" ht="14.25" customHeight="1" x14ac:dyDescent="0.25">
      <c r="C1">
        <f>SUM(C4:C45)</f>
        <v>49</v>
      </c>
      <c r="M1">
        <f t="shared" ref="M1:N1" si="0">SUM(M4:M45)</f>
        <v>80</v>
      </c>
      <c r="N1">
        <f t="shared" si="0"/>
        <v>19</v>
      </c>
    </row>
    <row r="2" spans="1:14" ht="14.25" customHeight="1" x14ac:dyDescent="0.25">
      <c r="C2">
        <f>+'Reporte Ind'!B1</f>
        <v>4</v>
      </c>
    </row>
    <row r="3" spans="1:14" ht="14.25" customHeight="1" x14ac:dyDescent="0.25">
      <c r="A3" t="s">
        <v>407</v>
      </c>
      <c r="B3" t="s">
        <v>408</v>
      </c>
      <c r="C3" t="s">
        <v>409</v>
      </c>
      <c r="D3" t="s">
        <v>410</v>
      </c>
    </row>
    <row r="4" spans="1:14" ht="14.25" customHeight="1" x14ac:dyDescent="0.25">
      <c r="A4">
        <v>5</v>
      </c>
      <c r="B4">
        <v>7</v>
      </c>
      <c r="C4">
        <f>HLOOKUP(VLOOKUP($C$2,Respuestas!$A$2:$HO$11,VALUE(B4)),D4:L5,2,0)</f>
        <v>1</v>
      </c>
      <c r="D4" s="32" t="s">
        <v>226</v>
      </c>
      <c r="E4" s="32" t="s">
        <v>291</v>
      </c>
      <c r="F4" s="32" t="s">
        <v>411</v>
      </c>
      <c r="G4" s="32" t="s">
        <v>412</v>
      </c>
      <c r="H4" s="33"/>
      <c r="I4" s="33"/>
      <c r="J4" s="33"/>
      <c r="K4" s="33"/>
      <c r="L4" s="33"/>
    </row>
    <row r="5" spans="1:14" ht="14.25" customHeight="1" x14ac:dyDescent="0.25">
      <c r="D5" s="32">
        <v>1</v>
      </c>
      <c r="E5" s="32">
        <v>1</v>
      </c>
      <c r="F5" s="32">
        <v>1</v>
      </c>
      <c r="G5" s="32">
        <v>1</v>
      </c>
      <c r="H5" s="33"/>
      <c r="I5" s="33"/>
      <c r="J5" s="33"/>
      <c r="K5" s="33"/>
      <c r="L5" s="33"/>
      <c r="M5">
        <f>MAX(D5:L5)</f>
        <v>1</v>
      </c>
      <c r="N5">
        <f>MIN(D5:L5)</f>
        <v>1</v>
      </c>
    </row>
    <row r="6" spans="1:14" ht="14.25" customHeight="1" x14ac:dyDescent="0.25">
      <c r="A6">
        <v>6</v>
      </c>
      <c r="B6">
        <v>8</v>
      </c>
      <c r="C6">
        <f>HLOOKUP(VLOOKUP($C$2,Respuestas!$A$2:$HO$11,VALUE(B6)),D6:L7,2,0)</f>
        <v>1</v>
      </c>
      <c r="D6" s="32" t="s">
        <v>227</v>
      </c>
      <c r="E6" s="32" t="s">
        <v>292</v>
      </c>
      <c r="F6" s="33"/>
      <c r="G6" s="33"/>
      <c r="H6" s="33"/>
      <c r="I6" s="33"/>
      <c r="J6" s="33"/>
      <c r="K6" s="33"/>
      <c r="L6" s="33"/>
    </row>
    <row r="7" spans="1:14" ht="14.25" customHeight="1" x14ac:dyDescent="0.25">
      <c r="D7" s="32">
        <v>2</v>
      </c>
      <c r="E7" s="32">
        <v>1</v>
      </c>
      <c r="F7" s="33"/>
      <c r="G7" s="33"/>
      <c r="H7" s="33"/>
      <c r="I7" s="33"/>
      <c r="J7" s="33"/>
      <c r="K7" s="33"/>
      <c r="L7" s="33"/>
      <c r="M7">
        <f>MAX(D7:L7)</f>
        <v>2</v>
      </c>
      <c r="N7">
        <f>MIN(D7:L7)</f>
        <v>1</v>
      </c>
    </row>
    <row r="8" spans="1:14" ht="14.25" customHeight="1" x14ac:dyDescent="0.25">
      <c r="A8">
        <v>7</v>
      </c>
      <c r="B8">
        <v>9</v>
      </c>
      <c r="C8">
        <f>HLOOKUP(VLOOKUP($C$2,Respuestas!$A$2:$HO$11,VALUE(B8)),D8:L9,2,0)</f>
        <v>2</v>
      </c>
      <c r="D8" s="32" t="s">
        <v>413</v>
      </c>
      <c r="E8" s="32" t="s">
        <v>414</v>
      </c>
      <c r="F8" s="32" t="s">
        <v>415</v>
      </c>
      <c r="G8" s="32" t="s">
        <v>416</v>
      </c>
      <c r="H8" s="32" t="s">
        <v>228</v>
      </c>
      <c r="I8" s="32" t="s">
        <v>328</v>
      </c>
      <c r="J8" s="33"/>
      <c r="K8" s="33"/>
      <c r="L8" s="33"/>
    </row>
    <row r="9" spans="1:14" ht="14.25" customHeight="1" x14ac:dyDescent="0.25">
      <c r="D9" s="32">
        <v>6</v>
      </c>
      <c r="E9" s="32">
        <v>5</v>
      </c>
      <c r="F9" s="32">
        <v>4</v>
      </c>
      <c r="G9" s="32">
        <v>3</v>
      </c>
      <c r="H9" s="32">
        <v>2</v>
      </c>
      <c r="I9" s="32">
        <v>1</v>
      </c>
      <c r="J9" s="33"/>
      <c r="K9" s="33"/>
      <c r="L9" s="33"/>
      <c r="M9">
        <f>MAX(D9:L9)</f>
        <v>6</v>
      </c>
      <c r="N9">
        <f>MIN(D9:L9)</f>
        <v>1</v>
      </c>
    </row>
    <row r="10" spans="1:14" ht="14.25" customHeight="1" x14ac:dyDescent="0.25">
      <c r="A10">
        <v>8</v>
      </c>
      <c r="B10">
        <v>10</v>
      </c>
      <c r="C10">
        <f>HLOOKUP(VLOOKUP($C$2,Respuestas!$A$2:$HO$11,VALUE(B10)),D10:L11,2,0)</f>
        <v>2</v>
      </c>
      <c r="D10" s="32" t="s">
        <v>417</v>
      </c>
      <c r="E10" s="32" t="s">
        <v>418</v>
      </c>
      <c r="F10" s="32" t="s">
        <v>419</v>
      </c>
      <c r="G10" s="32" t="s">
        <v>420</v>
      </c>
      <c r="H10" s="32" t="s">
        <v>421</v>
      </c>
      <c r="I10" s="32" t="s">
        <v>329</v>
      </c>
      <c r="J10" s="33"/>
      <c r="K10" s="33"/>
      <c r="L10" s="33"/>
    </row>
    <row r="11" spans="1:14" ht="14.25" customHeight="1" x14ac:dyDescent="0.25">
      <c r="D11" s="32">
        <v>5</v>
      </c>
      <c r="E11" s="32">
        <v>4</v>
      </c>
      <c r="F11" s="32">
        <v>3</v>
      </c>
      <c r="G11" s="32">
        <v>2</v>
      </c>
      <c r="H11" s="32">
        <v>1</v>
      </c>
      <c r="I11" s="32">
        <v>3</v>
      </c>
      <c r="J11" s="33"/>
      <c r="K11" s="33"/>
      <c r="L11" s="33"/>
      <c r="M11">
        <f>MAX(D11:L11)</f>
        <v>5</v>
      </c>
      <c r="N11">
        <f>MIN(D11:L11)</f>
        <v>1</v>
      </c>
    </row>
    <row r="12" spans="1:14" ht="14.25" customHeight="1" x14ac:dyDescent="0.25">
      <c r="A12">
        <v>9</v>
      </c>
      <c r="B12">
        <v>11</v>
      </c>
      <c r="C12">
        <f>HLOOKUP(VLOOKUP($C$2,Respuestas!$A$2:$HO$11,VALUE(B12)),D12:L13,2,0)</f>
        <v>4</v>
      </c>
      <c r="D12" s="32" t="s">
        <v>230</v>
      </c>
      <c r="E12" s="32" t="s">
        <v>366</v>
      </c>
      <c r="F12" s="32" t="s">
        <v>293</v>
      </c>
      <c r="G12" s="32" t="s">
        <v>351</v>
      </c>
      <c r="H12" s="32" t="s">
        <v>422</v>
      </c>
      <c r="I12" s="32" t="s">
        <v>423</v>
      </c>
      <c r="J12" s="32" t="s">
        <v>424</v>
      </c>
      <c r="K12" s="32" t="s">
        <v>330</v>
      </c>
      <c r="L12" s="32" t="s">
        <v>425</v>
      </c>
    </row>
    <row r="13" spans="1:14" ht="14.25" customHeight="1" x14ac:dyDescent="0.25">
      <c r="D13" s="32">
        <v>5</v>
      </c>
      <c r="E13" s="32">
        <v>5</v>
      </c>
      <c r="F13" s="32">
        <v>4</v>
      </c>
      <c r="G13" s="32">
        <v>4</v>
      </c>
      <c r="H13" s="32">
        <v>3</v>
      </c>
      <c r="I13" s="32">
        <v>3</v>
      </c>
      <c r="J13" s="32">
        <v>2</v>
      </c>
      <c r="K13" s="32">
        <v>2</v>
      </c>
      <c r="L13" s="32">
        <v>1</v>
      </c>
      <c r="M13">
        <f>MAX(D13:L13)</f>
        <v>5</v>
      </c>
      <c r="N13">
        <f>MIN(D13:L13)</f>
        <v>1</v>
      </c>
    </row>
    <row r="14" spans="1:14" ht="14.25" customHeight="1" x14ac:dyDescent="0.25">
      <c r="A14">
        <v>10</v>
      </c>
      <c r="B14">
        <v>12</v>
      </c>
      <c r="C14">
        <f>HLOOKUP(VLOOKUP($C$2,Respuestas!$A$2:$HO$11,VALUE(B14)),D14:L15,2,0)</f>
        <v>1</v>
      </c>
      <c r="D14" s="32" t="s">
        <v>230</v>
      </c>
      <c r="E14" s="32" t="s">
        <v>367</v>
      </c>
      <c r="F14" s="32" t="s">
        <v>294</v>
      </c>
      <c r="G14" s="32" t="s">
        <v>331</v>
      </c>
      <c r="H14" s="33"/>
      <c r="I14" s="33"/>
      <c r="J14" s="33"/>
      <c r="K14" s="33"/>
      <c r="L14" s="33"/>
    </row>
    <row r="15" spans="1:14" ht="14.25" customHeight="1" x14ac:dyDescent="0.25">
      <c r="D15" s="32">
        <v>3</v>
      </c>
      <c r="E15" s="32">
        <v>3</v>
      </c>
      <c r="F15" s="32">
        <v>2</v>
      </c>
      <c r="G15" s="32">
        <v>1</v>
      </c>
      <c r="H15" s="33"/>
      <c r="I15" s="33"/>
      <c r="J15" s="33"/>
      <c r="K15" s="33"/>
      <c r="L15" s="33"/>
      <c r="M15">
        <f>MAX(D15:L15)</f>
        <v>3</v>
      </c>
      <c r="N15">
        <f>MIN(D15:L15)</f>
        <v>1</v>
      </c>
    </row>
    <row r="16" spans="1:14" ht="14.25" customHeight="1" x14ac:dyDescent="0.25">
      <c r="A16">
        <v>11</v>
      </c>
      <c r="B16">
        <v>13</v>
      </c>
      <c r="C16">
        <f>HLOOKUP(VLOOKUP($C$2,Respuestas!$A$2:$HO$11,VALUE(B16)),D16:L17,2,0)</f>
        <v>1</v>
      </c>
      <c r="D16" s="32" t="s">
        <v>231</v>
      </c>
      <c r="E16" s="32" t="s">
        <v>426</v>
      </c>
      <c r="F16" s="33"/>
      <c r="G16" s="33"/>
      <c r="H16" s="33"/>
      <c r="I16" s="33"/>
      <c r="J16" s="33"/>
      <c r="K16" s="33"/>
      <c r="L16" s="33"/>
    </row>
    <row r="17" spans="1:14" ht="14.25" customHeight="1" x14ac:dyDescent="0.25">
      <c r="D17" s="32">
        <v>1</v>
      </c>
      <c r="E17" s="32">
        <v>1</v>
      </c>
      <c r="F17" s="33"/>
      <c r="G17" s="33"/>
      <c r="H17" s="33"/>
      <c r="I17" s="33"/>
      <c r="J17" s="33"/>
      <c r="K17" s="33"/>
      <c r="L17" s="33"/>
      <c r="M17">
        <f>MAX(D17:L17)</f>
        <v>1</v>
      </c>
      <c r="N17">
        <f>MIN(D17:L17)</f>
        <v>1</v>
      </c>
    </row>
    <row r="18" spans="1:14" ht="14.25" customHeight="1" x14ac:dyDescent="0.25">
      <c r="A18">
        <v>12</v>
      </c>
      <c r="B18">
        <v>14</v>
      </c>
      <c r="C18">
        <f>HLOOKUP(VLOOKUP($C$2,Respuestas!$A$2:$HO$11,VALUE(B18)),D18:L19,2,0)</f>
        <v>1</v>
      </c>
      <c r="D18" s="32" t="s">
        <v>232</v>
      </c>
      <c r="E18" s="32" t="s">
        <v>295</v>
      </c>
      <c r="F18" s="32" t="s">
        <v>427</v>
      </c>
      <c r="G18" s="32" t="s">
        <v>368</v>
      </c>
      <c r="H18" s="32" t="s">
        <v>428</v>
      </c>
      <c r="I18" s="32" t="s">
        <v>429</v>
      </c>
      <c r="J18" s="33"/>
      <c r="K18" s="33"/>
      <c r="L18" s="33"/>
    </row>
    <row r="19" spans="1:14" ht="14.25" customHeight="1" x14ac:dyDescent="0.25">
      <c r="D19" s="32">
        <v>1</v>
      </c>
      <c r="E19" s="32">
        <v>1</v>
      </c>
      <c r="F19" s="32">
        <v>1</v>
      </c>
      <c r="G19" s="32">
        <v>2</v>
      </c>
      <c r="H19" s="32">
        <v>2</v>
      </c>
      <c r="I19" s="32">
        <v>3</v>
      </c>
      <c r="J19" s="33"/>
      <c r="K19" s="33"/>
      <c r="L19" s="33"/>
      <c r="M19">
        <f>MAX(D19:L19)</f>
        <v>3</v>
      </c>
      <c r="N19">
        <f>MIN(D19:L19)</f>
        <v>1</v>
      </c>
    </row>
    <row r="20" spans="1:14" ht="14.25" customHeight="1" x14ac:dyDescent="0.25">
      <c r="A20">
        <v>13</v>
      </c>
      <c r="B20">
        <v>15</v>
      </c>
      <c r="C20">
        <f>HLOOKUP(VLOOKUP($C$2,Respuestas!$A$2:$HO$11,VALUE(B20)),D20:L21,2,0)</f>
        <v>3</v>
      </c>
      <c r="D20" s="32" t="s">
        <v>369</v>
      </c>
      <c r="E20" s="32" t="s">
        <v>233</v>
      </c>
      <c r="F20" s="32" t="s">
        <v>352</v>
      </c>
      <c r="G20" s="33"/>
      <c r="H20" s="33"/>
      <c r="I20" s="33"/>
      <c r="J20" s="33"/>
      <c r="K20" s="33"/>
      <c r="L20" s="33"/>
    </row>
    <row r="21" spans="1:14" ht="14.25" customHeight="1" x14ac:dyDescent="0.25">
      <c r="D21" s="32">
        <v>1</v>
      </c>
      <c r="E21" s="32">
        <v>2</v>
      </c>
      <c r="F21" s="32">
        <v>3</v>
      </c>
      <c r="G21" s="33"/>
      <c r="H21" s="33"/>
      <c r="I21" s="33"/>
      <c r="J21" s="33"/>
      <c r="K21" s="33"/>
      <c r="L21" s="33"/>
      <c r="M21">
        <f>MAX(D21:L21)</f>
        <v>3</v>
      </c>
      <c r="N21">
        <f>MIN(D21:L21)</f>
        <v>1</v>
      </c>
    </row>
    <row r="22" spans="1:14" ht="14.25" customHeight="1" x14ac:dyDescent="0.25">
      <c r="A22">
        <v>14</v>
      </c>
      <c r="B22">
        <v>16</v>
      </c>
      <c r="C22">
        <f>HLOOKUP(VLOOKUP($C$2,Respuestas!$A$2:$HO$11,VALUE(B22)),D22:L23,2,0)</f>
        <v>4</v>
      </c>
      <c r="D22" s="32">
        <v>1</v>
      </c>
      <c r="E22" s="32">
        <v>2</v>
      </c>
      <c r="F22" s="32">
        <v>3</v>
      </c>
      <c r="G22" s="32" t="s">
        <v>430</v>
      </c>
      <c r="H22" s="32" t="s">
        <v>431</v>
      </c>
      <c r="I22" s="33"/>
      <c r="J22" s="33"/>
      <c r="K22" s="33"/>
      <c r="L22" s="33"/>
    </row>
    <row r="23" spans="1:14" ht="14.25" customHeight="1" x14ac:dyDescent="0.25">
      <c r="D23" s="32">
        <v>3</v>
      </c>
      <c r="E23" s="32">
        <v>2</v>
      </c>
      <c r="F23" s="32">
        <v>1</v>
      </c>
      <c r="G23" s="32">
        <v>0</v>
      </c>
      <c r="H23" s="32">
        <v>4</v>
      </c>
      <c r="I23" s="33"/>
      <c r="J23" s="33"/>
      <c r="K23" s="33"/>
      <c r="L23" s="33"/>
      <c r="M23">
        <f>MAX(D23:L23)</f>
        <v>4</v>
      </c>
      <c r="N23">
        <f>MIN(D23:L23)</f>
        <v>0</v>
      </c>
    </row>
    <row r="24" spans="1:14" ht="14.25" customHeight="1" x14ac:dyDescent="0.25">
      <c r="A24">
        <v>15</v>
      </c>
      <c r="B24">
        <v>17</v>
      </c>
      <c r="C24">
        <f>HLOOKUP(VLOOKUP($C$2,Respuestas!$A$2:$HO$11,VALUE(B24)),D24:L25,2,0)</f>
        <v>5</v>
      </c>
      <c r="D24" s="32" t="s">
        <v>432</v>
      </c>
      <c r="E24" s="32" t="s">
        <v>433</v>
      </c>
      <c r="F24" s="32" t="s">
        <v>234</v>
      </c>
      <c r="G24" s="32" t="s">
        <v>332</v>
      </c>
      <c r="H24" s="32" t="s">
        <v>236</v>
      </c>
      <c r="I24" s="33"/>
      <c r="J24" s="33"/>
      <c r="K24" s="33"/>
      <c r="L24" s="33"/>
    </row>
    <row r="25" spans="1:14" ht="14.25" customHeight="1" x14ac:dyDescent="0.25">
      <c r="D25" s="32">
        <v>1</v>
      </c>
      <c r="E25" s="32">
        <v>2</v>
      </c>
      <c r="F25" s="32">
        <v>3</v>
      </c>
      <c r="G25" s="32">
        <v>4</v>
      </c>
      <c r="H25" s="32">
        <v>5</v>
      </c>
      <c r="I25" s="33"/>
      <c r="J25" s="33"/>
      <c r="K25" s="33"/>
      <c r="L25" s="33"/>
      <c r="M25">
        <f>MAX(D25:L25)</f>
        <v>5</v>
      </c>
      <c r="N25">
        <f>MIN(D25:L25)</f>
        <v>1</v>
      </c>
    </row>
    <row r="26" spans="1:14" ht="14.25" customHeight="1" x14ac:dyDescent="0.25">
      <c r="A26">
        <v>16</v>
      </c>
      <c r="B26">
        <v>18</v>
      </c>
      <c r="C26">
        <f>HLOOKUP(VLOOKUP($C$2,Respuestas!$A$2:$HO$11,VALUE(B26)),D26:L27,2,0)</f>
        <v>5</v>
      </c>
      <c r="D26" s="32" t="s">
        <v>235</v>
      </c>
      <c r="E26" s="32" t="s">
        <v>434</v>
      </c>
      <c r="F26" s="32" t="s">
        <v>296</v>
      </c>
      <c r="G26" s="32" t="s">
        <v>370</v>
      </c>
      <c r="H26" s="32" t="s">
        <v>354</v>
      </c>
      <c r="I26" s="33"/>
      <c r="J26" s="33"/>
      <c r="K26" s="33"/>
      <c r="L26" s="33"/>
    </row>
    <row r="27" spans="1:14" ht="14.25" customHeight="1" x14ac:dyDescent="0.25">
      <c r="D27" s="32">
        <v>1</v>
      </c>
      <c r="E27" s="32">
        <v>2</v>
      </c>
      <c r="F27" s="32">
        <v>3</v>
      </c>
      <c r="G27" s="32">
        <v>4</v>
      </c>
      <c r="H27" s="32">
        <v>5</v>
      </c>
      <c r="I27" s="33"/>
      <c r="J27" s="33"/>
      <c r="K27" s="33"/>
      <c r="L27" s="33"/>
      <c r="M27">
        <f>MAX(D27:L27)</f>
        <v>5</v>
      </c>
      <c r="N27">
        <f>MIN(D27:L27)</f>
        <v>1</v>
      </c>
    </row>
    <row r="28" spans="1:14" ht="14.25" customHeight="1" x14ac:dyDescent="0.25">
      <c r="A28">
        <v>17</v>
      </c>
      <c r="B28">
        <v>19</v>
      </c>
      <c r="C28">
        <f>HLOOKUP(VLOOKUP($C$2,Respuestas!$A$2:$HO$11,VALUE(B28)),D28:L29,2,0)</f>
        <v>3</v>
      </c>
      <c r="D28" s="32" t="s">
        <v>435</v>
      </c>
      <c r="E28" s="32" t="s">
        <v>436</v>
      </c>
      <c r="F28" s="32" t="s">
        <v>355</v>
      </c>
      <c r="G28" s="32" t="s">
        <v>371</v>
      </c>
      <c r="H28" s="32" t="s">
        <v>236</v>
      </c>
      <c r="I28" s="33"/>
      <c r="J28" s="33"/>
      <c r="K28" s="33"/>
      <c r="L28" s="33"/>
    </row>
    <row r="29" spans="1:14" ht="14.25" customHeight="1" x14ac:dyDescent="0.25">
      <c r="D29" s="32">
        <v>1</v>
      </c>
      <c r="E29" s="32">
        <v>2</v>
      </c>
      <c r="F29" s="32">
        <v>3</v>
      </c>
      <c r="G29" s="32">
        <v>4</v>
      </c>
      <c r="H29" s="32">
        <v>0</v>
      </c>
      <c r="I29" s="33"/>
      <c r="J29" s="33"/>
      <c r="K29" s="33"/>
      <c r="L29" s="33"/>
      <c r="M29">
        <f>MAX(D29:L29)</f>
        <v>4</v>
      </c>
      <c r="N29">
        <f>MIN(D29:L29)</f>
        <v>0</v>
      </c>
    </row>
    <row r="30" spans="1:14" ht="14.25" customHeight="1" x14ac:dyDescent="0.25">
      <c r="A30">
        <v>18</v>
      </c>
      <c r="B30">
        <v>20</v>
      </c>
      <c r="C30">
        <f>HLOOKUP(VLOOKUP($C$2,Respuestas!$A$2:$HO$11,VALUE(B30)),D30:L31,2,0)</f>
        <v>1</v>
      </c>
      <c r="D30" s="32" t="s">
        <v>237</v>
      </c>
      <c r="E30" s="32" t="s">
        <v>297</v>
      </c>
      <c r="F30" s="32" t="s">
        <v>372</v>
      </c>
      <c r="G30" s="33"/>
      <c r="H30" s="33"/>
      <c r="I30" s="33"/>
      <c r="J30" s="33"/>
      <c r="K30" s="33"/>
      <c r="L30" s="33"/>
    </row>
    <row r="31" spans="1:14" ht="14.25" customHeight="1" x14ac:dyDescent="0.25">
      <c r="D31" s="32">
        <v>1</v>
      </c>
      <c r="E31" s="32">
        <v>2</v>
      </c>
      <c r="F31" s="32">
        <v>3</v>
      </c>
      <c r="G31" s="33"/>
      <c r="H31" s="33"/>
      <c r="I31" s="33"/>
      <c r="J31" s="33"/>
      <c r="K31" s="33"/>
      <c r="L31" s="33"/>
      <c r="M31">
        <f>MAX(D31:L31)</f>
        <v>3</v>
      </c>
      <c r="N31">
        <f>MIN(D31:L31)</f>
        <v>1</v>
      </c>
    </row>
    <row r="32" spans="1:14" ht="14.25" customHeight="1" x14ac:dyDescent="0.25">
      <c r="A32">
        <v>19</v>
      </c>
      <c r="B32">
        <v>21</v>
      </c>
      <c r="C32">
        <f>HLOOKUP(VLOOKUP($C$2,Respuestas!$A$2:$HO$11,VALUE(B32)),D32:L33,2,0)</f>
        <v>3</v>
      </c>
      <c r="D32" s="32" t="s">
        <v>346</v>
      </c>
      <c r="E32" s="32" t="s">
        <v>437</v>
      </c>
      <c r="F32" s="32" t="s">
        <v>239</v>
      </c>
      <c r="G32" s="32" t="s">
        <v>298</v>
      </c>
      <c r="H32" s="32" t="s">
        <v>238</v>
      </c>
      <c r="I32" s="33"/>
      <c r="J32" s="33"/>
      <c r="K32" s="33"/>
      <c r="L32" s="33"/>
    </row>
    <row r="33" spans="1:14" ht="14.25" customHeight="1" x14ac:dyDescent="0.25">
      <c r="D33" s="32">
        <v>5</v>
      </c>
      <c r="E33" s="32">
        <v>4</v>
      </c>
      <c r="F33" s="32">
        <v>3</v>
      </c>
      <c r="G33" s="32">
        <v>2</v>
      </c>
      <c r="H33" s="32">
        <v>1</v>
      </c>
      <c r="I33" s="33"/>
      <c r="J33" s="33"/>
      <c r="K33" s="33"/>
      <c r="L33" s="33"/>
      <c r="M33">
        <f>MAX(D33:L33)</f>
        <v>5</v>
      </c>
      <c r="N33">
        <f>MIN(D33:L33)</f>
        <v>1</v>
      </c>
    </row>
    <row r="34" spans="1:14" ht="14.25" customHeight="1" x14ac:dyDescent="0.25">
      <c r="A34">
        <v>19</v>
      </c>
      <c r="B34">
        <v>22</v>
      </c>
      <c r="C34">
        <f>HLOOKUP(VLOOKUP($C$2,Respuestas!$A$2:$HO$11,VALUE(B34)),D34:L35,2,0)</f>
        <v>2</v>
      </c>
      <c r="D34" s="32" t="s">
        <v>346</v>
      </c>
      <c r="E34" s="32" t="s">
        <v>437</v>
      </c>
      <c r="F34" s="32" t="s">
        <v>239</v>
      </c>
      <c r="G34" s="32" t="s">
        <v>298</v>
      </c>
      <c r="H34" s="32" t="s">
        <v>238</v>
      </c>
      <c r="I34" s="33"/>
      <c r="J34" s="33"/>
      <c r="K34" s="33"/>
      <c r="L34" s="33"/>
    </row>
    <row r="35" spans="1:14" ht="14.25" customHeight="1" x14ac:dyDescent="0.25">
      <c r="D35" s="32">
        <v>5</v>
      </c>
      <c r="E35" s="32">
        <v>4</v>
      </c>
      <c r="F35" s="32">
        <v>3</v>
      </c>
      <c r="G35" s="32">
        <v>2</v>
      </c>
      <c r="H35" s="32">
        <v>1</v>
      </c>
      <c r="I35" s="33"/>
      <c r="J35" s="33"/>
      <c r="K35" s="33"/>
      <c r="L35" s="33"/>
      <c r="M35">
        <f>MAX(D35:L35)</f>
        <v>5</v>
      </c>
      <c r="N35">
        <f>MIN(D35:L35)</f>
        <v>1</v>
      </c>
    </row>
    <row r="36" spans="1:14" ht="14.25" customHeight="1" x14ac:dyDescent="0.25">
      <c r="A36">
        <v>19</v>
      </c>
      <c r="B36">
        <v>23</v>
      </c>
      <c r="C36">
        <f>HLOOKUP(VLOOKUP($C$2,Respuestas!$A$2:$HO$11,VALUE(B36)),D36:L37,2,0)</f>
        <v>1</v>
      </c>
      <c r="D36" s="32" t="s">
        <v>346</v>
      </c>
      <c r="E36" s="32" t="s">
        <v>437</v>
      </c>
      <c r="F36" s="32" t="s">
        <v>239</v>
      </c>
      <c r="G36" s="32" t="s">
        <v>298</v>
      </c>
      <c r="H36" s="32" t="s">
        <v>238</v>
      </c>
      <c r="I36" s="33"/>
      <c r="J36" s="33"/>
      <c r="K36" s="33"/>
      <c r="L36" s="33"/>
    </row>
    <row r="37" spans="1:14" ht="14.25" customHeight="1" x14ac:dyDescent="0.25">
      <c r="D37" s="32">
        <v>5</v>
      </c>
      <c r="E37" s="32">
        <v>4</v>
      </c>
      <c r="F37" s="32">
        <v>3</v>
      </c>
      <c r="G37" s="32">
        <v>2</v>
      </c>
      <c r="H37" s="32">
        <v>1</v>
      </c>
      <c r="I37" s="33"/>
      <c r="J37" s="33"/>
      <c r="K37" s="33"/>
      <c r="L37" s="33"/>
      <c r="M37">
        <f>MAX(D37:L37)</f>
        <v>5</v>
      </c>
      <c r="N37">
        <f>MIN(D37:L37)</f>
        <v>1</v>
      </c>
    </row>
    <row r="38" spans="1:14" ht="14.25" customHeight="1" x14ac:dyDescent="0.25">
      <c r="A38">
        <v>19</v>
      </c>
      <c r="B38">
        <v>24</v>
      </c>
      <c r="C38">
        <f>HLOOKUP(VLOOKUP($C$2,Respuestas!$A$2:$HO$11,VALUE(B38)),D38:L39,2,0)</f>
        <v>2</v>
      </c>
      <c r="D38" s="32" t="s">
        <v>346</v>
      </c>
      <c r="E38" s="32" t="s">
        <v>437</v>
      </c>
      <c r="F38" s="32" t="s">
        <v>239</v>
      </c>
      <c r="G38" s="32" t="s">
        <v>298</v>
      </c>
      <c r="H38" s="32" t="s">
        <v>238</v>
      </c>
      <c r="I38" s="33"/>
      <c r="J38" s="33"/>
      <c r="K38" s="33"/>
      <c r="L38" s="33"/>
    </row>
    <row r="39" spans="1:14" ht="14.25" customHeight="1" x14ac:dyDescent="0.25">
      <c r="D39" s="32">
        <v>5</v>
      </c>
      <c r="E39" s="32">
        <v>4</v>
      </c>
      <c r="F39" s="32">
        <v>3</v>
      </c>
      <c r="G39" s="32">
        <v>2</v>
      </c>
      <c r="H39" s="32">
        <v>1</v>
      </c>
      <c r="I39" s="33"/>
      <c r="J39" s="33"/>
      <c r="K39" s="33"/>
      <c r="L39" s="33"/>
      <c r="M39">
        <f>MAX(D39:L39)</f>
        <v>5</v>
      </c>
      <c r="N39">
        <f>MIN(D39:L39)</f>
        <v>1</v>
      </c>
    </row>
    <row r="40" spans="1:14" ht="14.25" customHeight="1" x14ac:dyDescent="0.25">
      <c r="A40">
        <v>20</v>
      </c>
      <c r="B40">
        <v>25</v>
      </c>
      <c r="C40">
        <f>HLOOKUP(VLOOKUP($C$2,Respuestas!$A$2:$HO$11,VALUE(B40)),D40:L41,2,0)</f>
        <v>2</v>
      </c>
      <c r="D40" s="32" t="s">
        <v>438</v>
      </c>
      <c r="E40" s="32" t="s">
        <v>356</v>
      </c>
      <c r="F40" s="32" t="s">
        <v>240</v>
      </c>
      <c r="G40" s="33"/>
      <c r="H40" s="33"/>
      <c r="I40" s="33"/>
      <c r="J40" s="33"/>
      <c r="K40" s="33"/>
      <c r="L40" s="33"/>
    </row>
    <row r="41" spans="1:14" ht="14.25" customHeight="1" x14ac:dyDescent="0.25">
      <c r="D41" s="32">
        <v>3</v>
      </c>
      <c r="E41" s="32">
        <v>2</v>
      </c>
      <c r="F41" s="32">
        <v>1</v>
      </c>
      <c r="G41" s="33"/>
      <c r="H41" s="33"/>
      <c r="I41" s="33"/>
      <c r="J41" s="33"/>
      <c r="K41" s="33"/>
      <c r="L41" s="33"/>
      <c r="M41">
        <f>MAX(D41:L41)</f>
        <v>3</v>
      </c>
      <c r="N41">
        <f>MIN(D41:L41)</f>
        <v>1</v>
      </c>
    </row>
    <row r="42" spans="1:14" ht="14.25" customHeight="1" x14ac:dyDescent="0.25">
      <c r="A42">
        <v>21</v>
      </c>
      <c r="B42">
        <v>26</v>
      </c>
      <c r="C42">
        <f>HLOOKUP(VLOOKUP($C$2,Respuestas!$A$2:$HO$11,VALUE(B42)),D42:L43,2,0)</f>
        <v>3</v>
      </c>
      <c r="D42" s="32" t="s">
        <v>241</v>
      </c>
      <c r="E42" s="32" t="s">
        <v>439</v>
      </c>
      <c r="F42" s="32" t="s">
        <v>272</v>
      </c>
      <c r="G42" s="33"/>
      <c r="H42" s="33"/>
      <c r="I42" s="33"/>
      <c r="J42" s="33"/>
      <c r="K42" s="33"/>
      <c r="L42" s="33"/>
    </row>
    <row r="43" spans="1:14" ht="14.25" customHeight="1" x14ac:dyDescent="0.25">
      <c r="D43" s="32">
        <v>3</v>
      </c>
      <c r="E43" s="32">
        <v>2</v>
      </c>
      <c r="F43" s="32">
        <v>1</v>
      </c>
      <c r="G43" s="33"/>
      <c r="H43" s="33"/>
      <c r="I43" s="33"/>
      <c r="J43" s="33"/>
      <c r="K43" s="33"/>
      <c r="L43" s="33"/>
      <c r="M43">
        <f>MAX(D43:L43)</f>
        <v>3</v>
      </c>
      <c r="N43">
        <f>MIN(D43:L43)</f>
        <v>1</v>
      </c>
    </row>
    <row r="44" spans="1:14" ht="14.25" customHeight="1" x14ac:dyDescent="0.25">
      <c r="A44">
        <v>22</v>
      </c>
      <c r="B44">
        <v>27</v>
      </c>
      <c r="C44">
        <f>HLOOKUP(VLOOKUP($C$2,Respuestas!$A$2:$HO$11,VALUE(B44)),D44:L45,2,0)</f>
        <v>2</v>
      </c>
      <c r="D44" s="32" t="s">
        <v>299</v>
      </c>
      <c r="E44" s="32" t="s">
        <v>333</v>
      </c>
      <c r="F44" s="32" t="s">
        <v>242</v>
      </c>
      <c r="G44" s="32" t="s">
        <v>373</v>
      </c>
      <c r="H44" s="33"/>
      <c r="I44" s="33"/>
      <c r="J44" s="33"/>
      <c r="K44" s="33"/>
      <c r="L44" s="33"/>
    </row>
    <row r="45" spans="1:14" ht="14.25" customHeight="1" x14ac:dyDescent="0.25">
      <c r="D45" s="32">
        <v>4</v>
      </c>
      <c r="E45" s="32">
        <v>3</v>
      </c>
      <c r="F45" s="32">
        <v>2</v>
      </c>
      <c r="G45" s="32">
        <v>1</v>
      </c>
      <c r="H45" s="33"/>
      <c r="I45" s="33"/>
      <c r="J45" s="33"/>
      <c r="K45" s="33"/>
      <c r="L45" s="33"/>
      <c r="M45">
        <f>MAX(D45:L45)</f>
        <v>4</v>
      </c>
      <c r="N45">
        <f>MIN(D45:L45)</f>
        <v>1</v>
      </c>
    </row>
    <row r="46" spans="1:14" ht="14.25" customHeight="1" x14ac:dyDescent="0.25"/>
    <row r="47" spans="1:14" ht="14.25" customHeight="1" x14ac:dyDescent="0.25"/>
    <row r="48" spans="1:14"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M100"/>
  <sheetViews>
    <sheetView workbookViewId="0"/>
  </sheetViews>
  <sheetFormatPr baseColWidth="10" defaultColWidth="14.42578125" defaultRowHeight="15" customHeight="1" x14ac:dyDescent="0.25"/>
  <cols>
    <col min="1" max="2" width="10.7109375" customWidth="1"/>
    <col min="3" max="3" width="12.7109375" customWidth="1"/>
    <col min="4" max="13" width="10.7109375" customWidth="1"/>
  </cols>
  <sheetData>
    <row r="1" spans="1:13" ht="14.25" customHeight="1" x14ac:dyDescent="0.25">
      <c r="C1">
        <f>SUM(C4:C116)</f>
        <v>12</v>
      </c>
      <c r="L1">
        <f t="shared" ref="L1:M1" si="0">SUM(L4:L116)</f>
        <v>4</v>
      </c>
      <c r="M1">
        <f t="shared" si="0"/>
        <v>44</v>
      </c>
    </row>
    <row r="2" spans="1:13" ht="14.25" customHeight="1" x14ac:dyDescent="0.25">
      <c r="C2">
        <f>+'Reporte Ind'!B1</f>
        <v>4</v>
      </c>
    </row>
    <row r="3" spans="1:13" ht="14.25" customHeight="1" x14ac:dyDescent="0.25">
      <c r="A3" t="s">
        <v>407</v>
      </c>
      <c r="B3" t="s">
        <v>408</v>
      </c>
      <c r="C3" t="s">
        <v>409</v>
      </c>
      <c r="D3" t="s">
        <v>410</v>
      </c>
    </row>
    <row r="4" spans="1:13" ht="14.25" customHeight="1" x14ac:dyDescent="0.25">
      <c r="A4">
        <v>85</v>
      </c>
      <c r="B4">
        <v>92</v>
      </c>
      <c r="C4">
        <f>IFERROR(HLOOKUP(VLOOKUP($C$2,Respuestas!$A$2:$HO$11,VALUE(B4)),D4:K5,2,0),"")</f>
        <v>1</v>
      </c>
      <c r="D4" t="s">
        <v>244</v>
      </c>
      <c r="E4" t="s">
        <v>256</v>
      </c>
    </row>
    <row r="5" spans="1:13" ht="14.25" customHeight="1" x14ac:dyDescent="0.25">
      <c r="D5" s="32">
        <v>0</v>
      </c>
      <c r="E5" s="32">
        <v>1</v>
      </c>
      <c r="F5" s="33"/>
      <c r="G5" s="33"/>
      <c r="H5" s="33"/>
      <c r="I5" s="33"/>
      <c r="J5" s="33"/>
      <c r="K5" s="33"/>
      <c r="L5">
        <f>MIN(D5:K5)</f>
        <v>0</v>
      </c>
      <c r="M5">
        <f>MAX(D5:K5)</f>
        <v>1</v>
      </c>
    </row>
    <row r="6" spans="1:13" ht="14.25" customHeight="1" x14ac:dyDescent="0.25">
      <c r="A6">
        <v>86</v>
      </c>
      <c r="B6">
        <v>93</v>
      </c>
      <c r="C6" t="str">
        <f>IF(VLOOKUP($C$2,Respuestas!$A$2:$HO$11,VALUE(B6),0)=0, " ", VLOOKUP($C$2,Respuestas!$A$2:$HO$11,VALUE(B6),0))</f>
        <v xml:space="preserve"> </v>
      </c>
      <c r="D6" t="s">
        <v>440</v>
      </c>
    </row>
    <row r="7" spans="1:13" ht="14.25" customHeight="1" x14ac:dyDescent="0.25">
      <c r="D7" s="33"/>
      <c r="E7" s="33"/>
      <c r="F7" s="33"/>
      <c r="G7" s="33"/>
      <c r="H7" s="33"/>
      <c r="I7" s="33"/>
      <c r="J7" s="33"/>
      <c r="K7" s="33"/>
      <c r="L7">
        <f>MIN(D7:K7)</f>
        <v>0</v>
      </c>
      <c r="M7">
        <f>MAX(D7:K7)</f>
        <v>0</v>
      </c>
    </row>
    <row r="8" spans="1:13" ht="14.25" customHeight="1" x14ac:dyDescent="0.25">
      <c r="A8">
        <v>87</v>
      </c>
      <c r="B8">
        <v>94</v>
      </c>
      <c r="C8">
        <f>IFERROR(HLOOKUP(VLOOKUP($C$2,Respuestas!$A$2:$HO$11,VALUE(B8)),D8:K9,2,0),"")</f>
        <v>2</v>
      </c>
      <c r="D8" t="s">
        <v>244</v>
      </c>
      <c r="E8" t="s">
        <v>256</v>
      </c>
    </row>
    <row r="9" spans="1:13" ht="14.25" customHeight="1" x14ac:dyDescent="0.25">
      <c r="D9" s="32">
        <v>2</v>
      </c>
      <c r="E9" s="32">
        <v>1</v>
      </c>
      <c r="F9" s="33"/>
      <c r="G9" s="33"/>
      <c r="H9" s="33"/>
      <c r="I9" s="33"/>
      <c r="J9" s="33"/>
      <c r="K9" s="33"/>
      <c r="L9">
        <f>MIN(D9:K9)</f>
        <v>1</v>
      </c>
      <c r="M9">
        <f>MAX(D9:K9)</f>
        <v>2</v>
      </c>
    </row>
    <row r="10" spans="1:13" ht="14.25" customHeight="1" x14ac:dyDescent="0.25">
      <c r="A10">
        <v>88</v>
      </c>
      <c r="B10">
        <v>95</v>
      </c>
      <c r="C10">
        <f>IFERROR(HLOOKUP(VLOOKUP($C$2,Respuestas!$A$2:$HO$11,VALUE(B10)),D10:K11,2,0),"")</f>
        <v>2</v>
      </c>
      <c r="D10" t="s">
        <v>255</v>
      </c>
      <c r="E10" t="s">
        <v>278</v>
      </c>
      <c r="F10" t="s">
        <v>315</v>
      </c>
      <c r="G10" t="s">
        <v>279</v>
      </c>
      <c r="H10" t="s">
        <v>274</v>
      </c>
      <c r="I10" t="s">
        <v>236</v>
      </c>
    </row>
    <row r="11" spans="1:13" ht="14.25" customHeight="1" x14ac:dyDescent="0.25">
      <c r="D11" s="32">
        <v>1</v>
      </c>
      <c r="E11" s="32">
        <v>2</v>
      </c>
      <c r="F11" s="32">
        <v>2</v>
      </c>
      <c r="G11" s="32">
        <v>3</v>
      </c>
      <c r="H11" s="32">
        <v>3</v>
      </c>
      <c r="I11" s="32">
        <v>0</v>
      </c>
      <c r="J11" s="33"/>
      <c r="K11" s="33"/>
      <c r="L11">
        <f>MIN(D11:K11)</f>
        <v>0</v>
      </c>
      <c r="M11">
        <f>MAX(D11:K11)</f>
        <v>3</v>
      </c>
    </row>
    <row r="12" spans="1:13" ht="14.25" customHeight="1" x14ac:dyDescent="0.25">
      <c r="A12">
        <v>89</v>
      </c>
      <c r="B12">
        <v>96</v>
      </c>
      <c r="C12">
        <f>IFERROR(HLOOKUP(VLOOKUP($C$2,Respuestas!$A$2:$HO$11,VALUE(B12)),D12:K13,2,0),"")</f>
        <v>2</v>
      </c>
      <c r="D12" t="s">
        <v>268</v>
      </c>
      <c r="E12" t="s">
        <v>256</v>
      </c>
    </row>
    <row r="13" spans="1:13" ht="14.25" customHeight="1" x14ac:dyDescent="0.25">
      <c r="D13" s="32">
        <v>2</v>
      </c>
      <c r="E13" s="32">
        <v>1</v>
      </c>
      <c r="F13" s="33"/>
      <c r="G13" s="33"/>
      <c r="H13" s="33"/>
      <c r="I13" s="33"/>
      <c r="J13" s="33"/>
      <c r="K13" s="33"/>
      <c r="L13">
        <f>MIN(D13:K13)</f>
        <v>1</v>
      </c>
      <c r="M13">
        <f>MAX(D13:K13)</f>
        <v>2</v>
      </c>
    </row>
    <row r="14" spans="1:13" ht="14.25" customHeight="1" x14ac:dyDescent="0.25">
      <c r="A14">
        <v>90</v>
      </c>
      <c r="B14">
        <v>97</v>
      </c>
      <c r="C14" t="str">
        <f>IF(VLOOKUP($C$2,Respuestas!$A$2:$HO$11,VALUE(B14),0)=0, " ", VLOOKUP($C$2,Respuestas!$A$2:$HO$11,VALUE(B14),0))</f>
        <v>Tequila, no he consumido durante mucho tiempo y aproximadamente 9 años</v>
      </c>
      <c r="F14" t="s">
        <v>441</v>
      </c>
    </row>
    <row r="15" spans="1:13" ht="14.25" customHeight="1" x14ac:dyDescent="0.25">
      <c r="D15" s="33"/>
      <c r="E15" s="33"/>
      <c r="F15" s="33"/>
      <c r="G15" s="33"/>
      <c r="H15" s="33"/>
      <c r="I15" s="33"/>
      <c r="J15" s="33"/>
      <c r="K15" s="33"/>
      <c r="L15">
        <f>MIN(D15:K15)</f>
        <v>0</v>
      </c>
      <c r="M15">
        <f>MAX(D15:K15)</f>
        <v>0</v>
      </c>
    </row>
    <row r="16" spans="1:13" ht="14.25" customHeight="1" x14ac:dyDescent="0.25">
      <c r="A16">
        <v>91</v>
      </c>
      <c r="B16">
        <v>98</v>
      </c>
      <c r="C16">
        <f>IFERROR(HLOOKUP(VLOOKUP($C$2,Respuestas!$A$2:$HO$11,VALUE(B16)),D16:K17,2,0),"")</f>
        <v>1</v>
      </c>
      <c r="D16" t="s">
        <v>268</v>
      </c>
      <c r="E16" t="s">
        <v>256</v>
      </c>
    </row>
    <row r="17" spans="1:13" ht="14.25" customHeight="1" x14ac:dyDescent="0.25">
      <c r="D17" s="32">
        <v>1</v>
      </c>
      <c r="E17" s="32">
        <v>2</v>
      </c>
      <c r="F17" s="33"/>
      <c r="G17" s="33"/>
      <c r="H17" s="33"/>
      <c r="I17" s="33"/>
      <c r="J17" s="33"/>
      <c r="K17" s="33"/>
      <c r="L17">
        <f>MIN(D17:K17)</f>
        <v>1</v>
      </c>
      <c r="M17">
        <f>MAX(D17:K17)</f>
        <v>2</v>
      </c>
    </row>
    <row r="18" spans="1:13" ht="14.25" customHeight="1" x14ac:dyDescent="0.25">
      <c r="A18">
        <v>92</v>
      </c>
      <c r="B18">
        <v>99</v>
      </c>
      <c r="C18">
        <f>IFERROR(HLOOKUP(VLOOKUP($C$2,Respuestas!$A$2:$HO$11,VALUE(B18)),D18:K19,2,0),"")</f>
        <v>2</v>
      </c>
      <c r="D18" t="s">
        <v>344</v>
      </c>
      <c r="E18" t="s">
        <v>317</v>
      </c>
      <c r="F18" t="s">
        <v>442</v>
      </c>
      <c r="G18" t="s">
        <v>270</v>
      </c>
    </row>
    <row r="19" spans="1:13" ht="14.25" customHeight="1" x14ac:dyDescent="0.25">
      <c r="D19" s="32">
        <v>1</v>
      </c>
      <c r="E19" s="32">
        <v>2</v>
      </c>
      <c r="F19" s="32">
        <v>3</v>
      </c>
      <c r="G19" s="32">
        <v>4</v>
      </c>
      <c r="H19" s="33"/>
      <c r="I19" s="33"/>
      <c r="J19" s="33"/>
      <c r="K19" s="33"/>
      <c r="L19">
        <f>MIN(D19:K19)</f>
        <v>1</v>
      </c>
      <c r="M19">
        <f>MAX(D19:K19)</f>
        <v>4</v>
      </c>
    </row>
    <row r="20" spans="1:13" ht="14.25" customHeight="1" x14ac:dyDescent="0.25">
      <c r="A20">
        <v>93</v>
      </c>
      <c r="B20">
        <v>100</v>
      </c>
      <c r="C20" t="str">
        <f>IF(VLOOKUP($C$2,Respuestas!$A$2:$HO$11,VALUE(B20),0)=0, " ", VLOOKUP($C$2,Respuestas!$A$2:$HO$11,VALUE(B20),0))</f>
        <v>Diabetes, Presión arterial alta</v>
      </c>
      <c r="D20" t="s">
        <v>443</v>
      </c>
    </row>
    <row r="21" spans="1:13" ht="14.25" customHeight="1" x14ac:dyDescent="0.25">
      <c r="C21">
        <f>IF(C20=D20,D21,(LEN(C20)-LEN(SUBSTITUTE(C20,",", ""))+1))</f>
        <v>2</v>
      </c>
      <c r="D21" s="32">
        <v>0</v>
      </c>
      <c r="E21" s="33"/>
      <c r="F21" s="33"/>
      <c r="G21" s="33"/>
      <c r="H21" s="33"/>
      <c r="I21" s="33"/>
      <c r="J21" s="33"/>
      <c r="K21" s="33"/>
      <c r="L21">
        <f>MIN(D21:K21)</f>
        <v>0</v>
      </c>
      <c r="M21">
        <v>9</v>
      </c>
    </row>
    <row r="22" spans="1:13" ht="14.25" customHeight="1" x14ac:dyDescent="0.25">
      <c r="A22">
        <v>94</v>
      </c>
      <c r="B22">
        <v>101</v>
      </c>
      <c r="C22" t="str">
        <f>IF(VLOOKUP($C$2,Respuestas!$A$2:$HO$11,VALUE(B22),0)=0, " ", VLOOKUP($C$2,Respuestas!$A$2:$HO$11,VALUE(B22),0))</f>
        <v>Ninguna</v>
      </c>
      <c r="D22" t="s">
        <v>272</v>
      </c>
    </row>
    <row r="23" spans="1:13" ht="14.25" customHeight="1" x14ac:dyDescent="0.25">
      <c r="C23">
        <f>IF(C22=D22,D23,(LEN(C22)-LEN(SUBSTITUTE(C22,",", ""))+1))*2</f>
        <v>0</v>
      </c>
      <c r="D23" s="32">
        <v>0</v>
      </c>
      <c r="E23" s="33"/>
      <c r="F23" s="33"/>
      <c r="G23" s="33"/>
      <c r="H23" s="33"/>
      <c r="I23" s="33"/>
      <c r="J23" s="33"/>
      <c r="K23" s="33"/>
      <c r="L23">
        <f>MIN(D23:K23)</f>
        <v>0</v>
      </c>
      <c r="M23">
        <v>8</v>
      </c>
    </row>
    <row r="24" spans="1:13" ht="14.25" customHeight="1" x14ac:dyDescent="0.25">
      <c r="A24">
        <v>95</v>
      </c>
      <c r="B24">
        <v>102</v>
      </c>
      <c r="C24" t="str">
        <f>IF(VLOOKUP($C$2,Respuestas!$A$2:$HO$11,VALUE(B24),0)=0, " ", VLOOKUP($C$2,Respuestas!$A$2:$HO$11,VALUE(B24),0))</f>
        <v xml:space="preserve"> </v>
      </c>
      <c r="D24" t="s">
        <v>444</v>
      </c>
    </row>
    <row r="25" spans="1:13" ht="14.25" customHeight="1" x14ac:dyDescent="0.25">
      <c r="D25" s="33"/>
      <c r="E25" s="33"/>
      <c r="F25" s="33"/>
      <c r="G25" s="33"/>
      <c r="H25" s="33"/>
      <c r="I25" s="33"/>
      <c r="J25" s="33"/>
      <c r="K25" s="33"/>
      <c r="L25">
        <f>MIN(D25:K25)</f>
        <v>0</v>
      </c>
      <c r="M25">
        <f>MAX(D25:K25)</f>
        <v>0</v>
      </c>
    </row>
    <row r="26" spans="1:13" ht="14.25" customHeight="1" x14ac:dyDescent="0.25">
      <c r="A26">
        <v>96</v>
      </c>
      <c r="B26">
        <v>103</v>
      </c>
      <c r="C26">
        <f>IFERROR(HLOOKUP(VLOOKUP($C$2,Respuestas!$A$2:$HO$11,VALUE(B26)),D26:K27,2,0),"")</f>
        <v>0</v>
      </c>
      <c r="D26" t="s">
        <v>244</v>
      </c>
      <c r="E26" t="s">
        <v>256</v>
      </c>
      <c r="F26" t="s">
        <v>236</v>
      </c>
    </row>
    <row r="27" spans="1:13" ht="14.25" customHeight="1" x14ac:dyDescent="0.25">
      <c r="D27" s="32">
        <v>2</v>
      </c>
      <c r="E27" s="32">
        <v>0</v>
      </c>
      <c r="F27" s="32">
        <v>0</v>
      </c>
      <c r="G27" s="33"/>
      <c r="H27" s="33"/>
      <c r="I27" s="33"/>
      <c r="J27" s="33"/>
      <c r="K27" s="33"/>
      <c r="L27">
        <f>MIN(D27:K27)</f>
        <v>0</v>
      </c>
      <c r="M27">
        <f>MAX(D27:K27)</f>
        <v>2</v>
      </c>
    </row>
    <row r="28" spans="1:13" ht="14.25" customHeight="1" x14ac:dyDescent="0.25">
      <c r="A28">
        <v>97</v>
      </c>
      <c r="B28">
        <v>104</v>
      </c>
      <c r="C28" t="str">
        <f>IF(VLOOKUP($C$2,Respuestas!$A$2:$HO$11,VALUE(B28),0)=0, " ", VLOOKUP($C$2,Respuestas!$A$2:$HO$11,VALUE(B28),0))</f>
        <v>No consumo</v>
      </c>
      <c r="D28" t="s">
        <v>440</v>
      </c>
    </row>
    <row r="29" spans="1:13" ht="14.25" customHeight="1" x14ac:dyDescent="0.25">
      <c r="D29" s="33"/>
      <c r="E29" s="33"/>
      <c r="F29" s="33"/>
      <c r="G29" s="33"/>
      <c r="H29" s="33"/>
      <c r="I29" s="33"/>
      <c r="J29" s="33"/>
      <c r="K29" s="33"/>
      <c r="L29">
        <f>MIN(D29:K29)</f>
        <v>0</v>
      </c>
      <c r="M29">
        <f>MAX(D29:K29)</f>
        <v>0</v>
      </c>
    </row>
    <row r="30" spans="1:13" ht="14.25" customHeight="1" x14ac:dyDescent="0.25">
      <c r="A30">
        <v>98</v>
      </c>
      <c r="B30">
        <v>105</v>
      </c>
      <c r="C30" t="str">
        <f>IF(VLOOKUP($C$2,Respuestas!$A$2:$HO$11,VALUE(B30),0)=0, " ", VLOOKUP($C$2,Respuestas!$A$2:$HO$11,VALUE(B30),0))</f>
        <v>NO</v>
      </c>
      <c r="D30" t="s">
        <v>440</v>
      </c>
    </row>
    <row r="31" spans="1:13" ht="14.25" customHeight="1" x14ac:dyDescent="0.25">
      <c r="D31" s="33"/>
      <c r="E31" s="33"/>
      <c r="F31" s="33"/>
      <c r="G31" s="33"/>
      <c r="H31" s="33"/>
      <c r="I31" s="33"/>
      <c r="J31" s="33"/>
      <c r="K31" s="33"/>
      <c r="L31">
        <f>MIN(D31:K31)</f>
        <v>0</v>
      </c>
      <c r="M31">
        <f>MAX(D31:K31)</f>
        <v>0</v>
      </c>
    </row>
    <row r="32" spans="1:13" ht="14.25" customHeight="1" x14ac:dyDescent="0.25">
      <c r="A32">
        <v>103</v>
      </c>
      <c r="B32">
        <v>110</v>
      </c>
      <c r="C32">
        <f>IFERROR(HLOOKUP(VLOOKUP($C$2,Respuestas!$A$2:$HO$11,VALUE(B32)),D32:K33,2,0),"")</f>
        <v>0</v>
      </c>
      <c r="D32" t="s">
        <v>244</v>
      </c>
      <c r="E32" t="s">
        <v>256</v>
      </c>
    </row>
    <row r="33" spans="1:13" ht="14.25" customHeight="1" x14ac:dyDescent="0.25">
      <c r="D33" s="32">
        <v>2</v>
      </c>
      <c r="E33" s="32">
        <v>0</v>
      </c>
      <c r="F33" s="32"/>
      <c r="G33" s="33"/>
      <c r="H33" s="33"/>
      <c r="I33" s="33"/>
      <c r="J33" s="33"/>
      <c r="K33" s="33"/>
      <c r="L33">
        <f>MIN(D33:K33)</f>
        <v>0</v>
      </c>
      <c r="M33">
        <f>MAX(D33:K33)</f>
        <v>2</v>
      </c>
    </row>
    <row r="34" spans="1:13" ht="14.25" customHeight="1" x14ac:dyDescent="0.25">
      <c r="A34">
        <v>104</v>
      </c>
      <c r="B34">
        <v>111</v>
      </c>
      <c r="C34" t="str">
        <f>IF(VLOOKUP($C$2,Respuestas!$A$2:$HO$11,VALUE(B34),0)=0, " ", VLOOKUP($C$2,Respuestas!$A$2:$HO$11,VALUE(B34),0))</f>
        <v>NINGUNA</v>
      </c>
    </row>
    <row r="35" spans="1:13" ht="14.25" customHeight="1" x14ac:dyDescent="0.25">
      <c r="D35" s="33"/>
      <c r="E35" s="33"/>
      <c r="F35" s="33"/>
      <c r="G35" s="33"/>
      <c r="H35" s="33"/>
      <c r="I35" s="33"/>
      <c r="J35" s="33"/>
      <c r="K35" s="33"/>
      <c r="L35">
        <f>MIN(D35:K35)</f>
        <v>0</v>
      </c>
      <c r="M35">
        <f>MAX(D35:K35)</f>
        <v>0</v>
      </c>
    </row>
    <row r="36" spans="1:13" ht="14.25" customHeight="1" x14ac:dyDescent="0.25">
      <c r="A36">
        <v>105</v>
      </c>
      <c r="B36">
        <v>112</v>
      </c>
      <c r="C36">
        <f>IFERROR(HLOOKUP(VLOOKUP($C$2,Respuestas!$A$2:$HO$11,VALUE(B36)),D36:K37,2,0),"")</f>
        <v>0</v>
      </c>
      <c r="D36" t="s">
        <v>255</v>
      </c>
      <c r="E36" t="s">
        <v>278</v>
      </c>
      <c r="F36" t="s">
        <v>315</v>
      </c>
      <c r="G36" t="s">
        <v>279</v>
      </c>
      <c r="H36" t="s">
        <v>274</v>
      </c>
    </row>
    <row r="37" spans="1:13" ht="14.25" customHeight="1" x14ac:dyDescent="0.25">
      <c r="D37" s="32">
        <v>0</v>
      </c>
      <c r="E37" s="32">
        <v>1</v>
      </c>
      <c r="F37" s="32">
        <v>2</v>
      </c>
      <c r="G37" s="32">
        <v>3</v>
      </c>
      <c r="H37" s="32">
        <v>4</v>
      </c>
      <c r="I37" s="33"/>
      <c r="J37" s="33"/>
      <c r="K37" s="33"/>
      <c r="L37">
        <f>MIN(D37:K37)</f>
        <v>0</v>
      </c>
      <c r="M37">
        <f>MAX(D37:K37)</f>
        <v>4</v>
      </c>
    </row>
    <row r="38" spans="1:13" ht="14.25" customHeight="1" x14ac:dyDescent="0.25">
      <c r="A38">
        <v>106</v>
      </c>
      <c r="B38">
        <v>113</v>
      </c>
      <c r="C38">
        <f>IFERROR(HLOOKUP(VLOOKUP($C$2,Respuestas!$A$2:$HO$11,VALUE(B38)),D38:K39,2,0),"")</f>
        <v>0</v>
      </c>
      <c r="D38" t="s">
        <v>445</v>
      </c>
      <c r="E38" t="s">
        <v>446</v>
      </c>
      <c r="F38" t="s">
        <v>447</v>
      </c>
      <c r="G38" t="s">
        <v>448</v>
      </c>
      <c r="H38" t="s">
        <v>275</v>
      </c>
      <c r="I38" t="s">
        <v>236</v>
      </c>
    </row>
    <row r="39" spans="1:13" ht="14.25" customHeight="1" x14ac:dyDescent="0.25">
      <c r="D39" s="32">
        <v>1</v>
      </c>
      <c r="E39" s="32">
        <v>2</v>
      </c>
      <c r="F39" s="32">
        <v>2</v>
      </c>
      <c r="G39" s="32">
        <v>3</v>
      </c>
      <c r="H39" s="32">
        <v>3</v>
      </c>
      <c r="I39" s="32">
        <v>0</v>
      </c>
      <c r="J39" s="33"/>
      <c r="K39" s="33"/>
      <c r="L39">
        <f>MIN(D39:K39)</f>
        <v>0</v>
      </c>
      <c r="M39">
        <f>MAX(D39:K39)</f>
        <v>3</v>
      </c>
    </row>
    <row r="40" spans="1:13" ht="14.25" customHeight="1" x14ac:dyDescent="0.25">
      <c r="A40">
        <v>107</v>
      </c>
      <c r="B40">
        <v>114</v>
      </c>
      <c r="C40">
        <f>IFERROR(HLOOKUP(VLOOKUP($C$2,Respuestas!$A$2:$HO$11,VALUE(B40)),D40:K41,2,0),"")</f>
        <v>0</v>
      </c>
      <c r="D40" t="s">
        <v>244</v>
      </c>
      <c r="E40" t="s">
        <v>256</v>
      </c>
    </row>
    <row r="41" spans="1:13" ht="14.25" customHeight="1" x14ac:dyDescent="0.25">
      <c r="D41" s="32">
        <v>1</v>
      </c>
      <c r="E41" s="32">
        <v>0</v>
      </c>
      <c r="F41" s="32"/>
      <c r="G41" s="33"/>
      <c r="H41" s="33"/>
      <c r="I41" s="33"/>
      <c r="J41" s="33"/>
      <c r="K41" s="33"/>
      <c r="L41">
        <f>MIN(D41:K41)</f>
        <v>0</v>
      </c>
      <c r="M41">
        <f>MAX(D41:K41)</f>
        <v>1</v>
      </c>
    </row>
    <row r="42" spans="1:13" ht="14.25" customHeight="1" x14ac:dyDescent="0.25">
      <c r="A42">
        <v>108</v>
      </c>
      <c r="B42">
        <v>115</v>
      </c>
      <c r="C42">
        <f>IFERROR(HLOOKUP(VLOOKUP($C$2,Respuestas!$A$2:$HO$11,VALUE(B42)),D42:K43,2,0),"")</f>
        <v>0</v>
      </c>
      <c r="D42" t="s">
        <v>244</v>
      </c>
      <c r="E42" t="s">
        <v>256</v>
      </c>
    </row>
    <row r="43" spans="1:13" ht="14.25" customHeight="1" x14ac:dyDescent="0.25">
      <c r="D43" s="32">
        <v>1</v>
      </c>
      <c r="E43" s="32">
        <v>0</v>
      </c>
      <c r="F43" s="32"/>
      <c r="G43" s="33"/>
      <c r="H43" s="33"/>
      <c r="I43" s="33"/>
      <c r="J43" s="33"/>
      <c r="K43" s="33"/>
      <c r="L43">
        <f>MIN(D43:K43)</f>
        <v>0</v>
      </c>
      <c r="M43">
        <f>MAX(D43:K43)</f>
        <v>1</v>
      </c>
    </row>
    <row r="44" spans="1:13" ht="14.25" customHeight="1" x14ac:dyDescent="0.25"/>
    <row r="45" spans="1:13" ht="14.25" customHeight="1" x14ac:dyDescent="0.25"/>
    <row r="46" spans="1:13" ht="14.25" customHeight="1" x14ac:dyDescent="0.25"/>
    <row r="47" spans="1:13" ht="14.25" customHeight="1" x14ac:dyDescent="0.25"/>
    <row r="48" spans="1: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B083"/>
  </sheetPr>
  <dimension ref="A1:M100"/>
  <sheetViews>
    <sheetView workbookViewId="0"/>
  </sheetViews>
  <sheetFormatPr baseColWidth="10" defaultColWidth="14.42578125" defaultRowHeight="15" customHeight="1" x14ac:dyDescent="0.25"/>
  <cols>
    <col min="1" max="13" width="10.7109375" customWidth="1"/>
  </cols>
  <sheetData>
    <row r="1" spans="1:13" ht="14.25" customHeight="1" x14ac:dyDescent="0.25">
      <c r="C1">
        <f>SUM(C4:C116)</f>
        <v>4</v>
      </c>
      <c r="L1">
        <f t="shared" ref="L1:M1" si="0">SUM(L4:L116)</f>
        <v>4</v>
      </c>
      <c r="M1">
        <f t="shared" si="0"/>
        <v>38</v>
      </c>
    </row>
    <row r="2" spans="1:13" ht="14.25" customHeight="1" x14ac:dyDescent="0.25">
      <c r="C2">
        <f>+'Reporte Ind'!B1</f>
        <v>4</v>
      </c>
    </row>
    <row r="3" spans="1:13" ht="14.25" customHeight="1" x14ac:dyDescent="0.25">
      <c r="A3" t="s">
        <v>407</v>
      </c>
      <c r="B3" t="s">
        <v>408</v>
      </c>
      <c r="C3" t="s">
        <v>409</v>
      </c>
      <c r="D3" t="s">
        <v>410</v>
      </c>
    </row>
    <row r="4" spans="1:13" ht="14.25" customHeight="1" x14ac:dyDescent="0.25">
      <c r="A4">
        <v>166</v>
      </c>
      <c r="B4">
        <v>206</v>
      </c>
      <c r="C4">
        <f>IFERROR(HLOOKUP(VLOOKUP($C$2,Respuestas!$A$2:$HO$11,VALUE(B4)),D4:K5,2,0),"")</f>
        <v>0</v>
      </c>
      <c r="D4" t="s">
        <v>244</v>
      </c>
      <c r="E4" t="s">
        <v>256</v>
      </c>
    </row>
    <row r="5" spans="1:13" ht="14.25" customHeight="1" x14ac:dyDescent="0.25">
      <c r="D5" s="32">
        <v>3</v>
      </c>
      <c r="E5" s="32">
        <v>0</v>
      </c>
      <c r="F5" s="33"/>
      <c r="G5" s="33"/>
      <c r="H5" s="33"/>
      <c r="I5" s="33"/>
      <c r="J5" s="33"/>
      <c r="K5" s="33"/>
      <c r="L5">
        <f>MIN(D5:K5)</f>
        <v>0</v>
      </c>
      <c r="M5">
        <f>MAX(D5:K5)</f>
        <v>3</v>
      </c>
    </row>
    <row r="6" spans="1:13" ht="14.25" customHeight="1" x14ac:dyDescent="0.25">
      <c r="A6">
        <v>167</v>
      </c>
      <c r="B6">
        <v>207</v>
      </c>
      <c r="C6">
        <f>IFERROR(HLOOKUP(VLOOKUP($C$2,Respuestas!$A$2:$HO$11,VALUE(B6)),D6:K7,2,0),"")</f>
        <v>0</v>
      </c>
      <c r="D6" t="s">
        <v>244</v>
      </c>
      <c r="E6" t="s">
        <v>256</v>
      </c>
    </row>
    <row r="7" spans="1:13" ht="14.25" customHeight="1" x14ac:dyDescent="0.25">
      <c r="D7" s="32">
        <v>2</v>
      </c>
      <c r="E7" s="32">
        <v>0</v>
      </c>
      <c r="F7" s="33"/>
      <c r="G7" s="33"/>
      <c r="H7" s="33"/>
      <c r="I7" s="33"/>
      <c r="J7" s="33"/>
      <c r="K7" s="33"/>
      <c r="L7">
        <f>MIN(D7:K7)</f>
        <v>0</v>
      </c>
      <c r="M7">
        <f>MAX(D7:K7)</f>
        <v>2</v>
      </c>
    </row>
    <row r="8" spans="1:13" ht="14.25" customHeight="1" x14ac:dyDescent="0.25">
      <c r="A8">
        <v>168</v>
      </c>
      <c r="B8">
        <v>208</v>
      </c>
      <c r="C8">
        <f>IFERROR(HLOOKUP(VLOOKUP($C$2,Respuestas!$A$2:$HO$11,VALUE(B8)),D8:K9,2,0),"")</f>
        <v>0</v>
      </c>
      <c r="D8" t="s">
        <v>244</v>
      </c>
      <c r="E8" t="s">
        <v>256</v>
      </c>
    </row>
    <row r="9" spans="1:13" ht="14.25" customHeight="1" x14ac:dyDescent="0.25">
      <c r="D9" s="32">
        <v>1</v>
      </c>
      <c r="E9" s="32">
        <v>0</v>
      </c>
      <c r="F9" s="33"/>
      <c r="G9" s="33"/>
      <c r="H9" s="33"/>
      <c r="I9" s="33"/>
      <c r="J9" s="33"/>
      <c r="K9" s="33"/>
      <c r="L9">
        <f>MIN(D9:K9)</f>
        <v>0</v>
      </c>
      <c r="M9">
        <f>MAX(D9:K9)</f>
        <v>1</v>
      </c>
    </row>
    <row r="10" spans="1:13" ht="14.25" customHeight="1" x14ac:dyDescent="0.25">
      <c r="A10">
        <v>169</v>
      </c>
      <c r="B10">
        <v>209</v>
      </c>
      <c r="C10">
        <f>IFERROR(HLOOKUP(VLOOKUP($C$2,Respuestas!$A$2:$HO$11,VALUE(B10)),D10:K11,2,0),"")</f>
        <v>0</v>
      </c>
      <c r="D10" t="s">
        <v>244</v>
      </c>
      <c r="E10" t="s">
        <v>256</v>
      </c>
    </row>
    <row r="11" spans="1:13" ht="14.25" customHeight="1" x14ac:dyDescent="0.25">
      <c r="D11" s="32">
        <v>2</v>
      </c>
      <c r="E11" s="32">
        <v>0</v>
      </c>
      <c r="F11" s="33"/>
      <c r="G11" s="33"/>
      <c r="H11" s="33"/>
      <c r="I11" s="33"/>
      <c r="J11" s="33"/>
      <c r="K11" s="33"/>
      <c r="L11">
        <f>MIN(D11:K11)</f>
        <v>0</v>
      </c>
      <c r="M11">
        <f>MAX(D11:K11)</f>
        <v>2</v>
      </c>
    </row>
    <row r="12" spans="1:13" ht="14.25" customHeight="1" x14ac:dyDescent="0.25">
      <c r="A12">
        <v>170</v>
      </c>
      <c r="B12">
        <v>210</v>
      </c>
      <c r="C12">
        <f>IFERROR(HLOOKUP(VLOOKUP($C$2,Respuestas!$A$2:$HO$11,VALUE(B12)),D12:K13,2,0),"")</f>
        <v>1</v>
      </c>
      <c r="D12" t="s">
        <v>244</v>
      </c>
      <c r="E12" t="s">
        <v>256</v>
      </c>
    </row>
    <row r="13" spans="1:13" ht="14.25" customHeight="1" x14ac:dyDescent="0.25">
      <c r="D13" s="32">
        <v>3</v>
      </c>
      <c r="E13" s="32">
        <v>1</v>
      </c>
      <c r="F13" s="33"/>
      <c r="G13" s="33"/>
      <c r="H13" s="33"/>
      <c r="I13" s="33"/>
      <c r="J13" s="33"/>
      <c r="K13" s="33"/>
      <c r="L13">
        <f>MIN(D13:K13)</f>
        <v>1</v>
      </c>
      <c r="M13">
        <f>MAX(D13:K13)</f>
        <v>3</v>
      </c>
    </row>
    <row r="14" spans="1:13" ht="14.25" customHeight="1" x14ac:dyDescent="0.25">
      <c r="A14">
        <v>171</v>
      </c>
      <c r="B14">
        <v>211</v>
      </c>
      <c r="C14">
        <f>IFERROR(HLOOKUP(VLOOKUP($C$2,Respuestas!$A$2:$HO$11,VALUE(B14)),D14:K15,2,0),"")</f>
        <v>1</v>
      </c>
      <c r="D14" t="s">
        <v>244</v>
      </c>
      <c r="E14" t="s">
        <v>256</v>
      </c>
    </row>
    <row r="15" spans="1:13" ht="14.25" customHeight="1" x14ac:dyDescent="0.25">
      <c r="D15" s="32">
        <v>2</v>
      </c>
      <c r="E15" s="32">
        <v>1</v>
      </c>
      <c r="F15" s="33"/>
      <c r="G15" s="33"/>
      <c r="H15" s="33"/>
      <c r="I15" s="33"/>
      <c r="J15" s="33"/>
      <c r="K15" s="33"/>
      <c r="L15">
        <f>MIN(D15:K15)</f>
        <v>1</v>
      </c>
      <c r="M15">
        <f>MAX(D15:K15)</f>
        <v>2</v>
      </c>
    </row>
    <row r="16" spans="1:13" ht="14.25" customHeight="1" x14ac:dyDescent="0.25">
      <c r="A16">
        <v>172</v>
      </c>
      <c r="B16">
        <v>212</v>
      </c>
      <c r="C16">
        <f>IFERROR(HLOOKUP(VLOOKUP($C$2,Respuestas!$A$2:$HO$11,VALUE(B16)),D16:K17,2,0),"")</f>
        <v>1</v>
      </c>
      <c r="D16" t="s">
        <v>244</v>
      </c>
      <c r="E16" t="s">
        <v>256</v>
      </c>
    </row>
    <row r="17" spans="1:13" ht="14.25" customHeight="1" x14ac:dyDescent="0.25">
      <c r="D17" s="32">
        <v>2</v>
      </c>
      <c r="E17" s="32">
        <v>1</v>
      </c>
      <c r="F17" s="33"/>
      <c r="G17" s="33"/>
      <c r="H17" s="33"/>
      <c r="I17" s="33"/>
      <c r="J17" s="33"/>
      <c r="K17" s="33"/>
      <c r="L17">
        <f>MIN(D17:K17)</f>
        <v>1</v>
      </c>
      <c r="M17">
        <f>MAX(D17:K17)</f>
        <v>2</v>
      </c>
    </row>
    <row r="18" spans="1:13" ht="14.25" customHeight="1" x14ac:dyDescent="0.25">
      <c r="A18">
        <v>173</v>
      </c>
      <c r="B18">
        <v>213</v>
      </c>
      <c r="C18">
        <f>IFERROR(HLOOKUP(VLOOKUP($C$2,Respuestas!$A$2:$HO$11,VALUE(B18)),D18:K19,2,0),"")</f>
        <v>0</v>
      </c>
      <c r="D18" t="s">
        <v>244</v>
      </c>
      <c r="E18" t="s">
        <v>256</v>
      </c>
    </row>
    <row r="19" spans="1:13" ht="14.25" customHeight="1" x14ac:dyDescent="0.25">
      <c r="D19" s="32">
        <v>2</v>
      </c>
      <c r="E19" s="32">
        <v>0</v>
      </c>
      <c r="F19" s="33"/>
      <c r="G19" s="33"/>
      <c r="H19" s="33"/>
      <c r="I19" s="33"/>
      <c r="J19" s="33"/>
      <c r="K19" s="33"/>
      <c r="L19">
        <f>MIN(D19:K19)</f>
        <v>0</v>
      </c>
      <c r="M19">
        <f>MAX(D19:K19)</f>
        <v>2</v>
      </c>
    </row>
    <row r="20" spans="1:13" ht="14.25" customHeight="1" x14ac:dyDescent="0.25">
      <c r="A20">
        <v>174</v>
      </c>
      <c r="B20">
        <v>214</v>
      </c>
      <c r="C20">
        <f>IFERROR(HLOOKUP(VLOOKUP($C$2,Respuestas!$A$2:$HO$11,VALUE(B20)),D20:K21,2,0),"")</f>
        <v>0</v>
      </c>
      <c r="D20" t="s">
        <v>244</v>
      </c>
      <c r="E20" t="s">
        <v>256</v>
      </c>
    </row>
    <row r="21" spans="1:13" ht="14.25" customHeight="1" x14ac:dyDescent="0.25">
      <c r="D21" s="32">
        <v>2</v>
      </c>
      <c r="E21" s="32">
        <v>0</v>
      </c>
      <c r="F21" s="33"/>
      <c r="G21" s="33"/>
      <c r="H21" s="33"/>
      <c r="I21" s="33"/>
      <c r="J21" s="33"/>
      <c r="K21" s="33"/>
      <c r="L21">
        <f>MIN(D21:K21)</f>
        <v>0</v>
      </c>
      <c r="M21">
        <f>MAX(D21:K21)</f>
        <v>2</v>
      </c>
    </row>
    <row r="22" spans="1:13" ht="14.25" customHeight="1" x14ac:dyDescent="0.25">
      <c r="A22">
        <v>175</v>
      </c>
      <c r="B22">
        <v>215</v>
      </c>
      <c r="C22">
        <f>IFERROR(HLOOKUP(VLOOKUP($C$2,Respuestas!$A$2:$HO$11,VALUE(B22)),D22:K23,2,0),"")</f>
        <v>0</v>
      </c>
      <c r="D22" t="s">
        <v>244</v>
      </c>
      <c r="E22" t="s">
        <v>256</v>
      </c>
    </row>
    <row r="23" spans="1:13" ht="14.25" customHeight="1" x14ac:dyDescent="0.25">
      <c r="D23" s="32">
        <v>2</v>
      </c>
      <c r="E23" s="32">
        <v>0</v>
      </c>
      <c r="F23" s="33"/>
      <c r="G23" s="33"/>
      <c r="H23" s="33"/>
      <c r="I23" s="33"/>
      <c r="J23" s="33"/>
      <c r="K23" s="33"/>
      <c r="L23">
        <f>MIN(D23:K23)</f>
        <v>0</v>
      </c>
      <c r="M23">
        <f>MAX(D23:K23)</f>
        <v>2</v>
      </c>
    </row>
    <row r="24" spans="1:13" ht="14.25" customHeight="1" x14ac:dyDescent="0.25">
      <c r="A24">
        <v>176</v>
      </c>
      <c r="B24">
        <v>216</v>
      </c>
      <c r="C24">
        <f>IFERROR(HLOOKUP(VLOOKUP($C$2,Respuestas!$A$2:$HO$11,VALUE(B24)),D24:K25,2,0),"")</f>
        <v>0</v>
      </c>
      <c r="D24" t="s">
        <v>244</v>
      </c>
      <c r="E24" t="s">
        <v>256</v>
      </c>
    </row>
    <row r="25" spans="1:13" ht="14.25" customHeight="1" x14ac:dyDescent="0.25">
      <c r="D25" s="32">
        <v>2</v>
      </c>
      <c r="E25" s="32">
        <v>0</v>
      </c>
      <c r="F25" s="33"/>
      <c r="G25" s="33"/>
      <c r="H25" s="33"/>
      <c r="I25" s="33"/>
      <c r="J25" s="33"/>
      <c r="K25" s="33"/>
      <c r="L25">
        <f>MIN(D25:K25)</f>
        <v>0</v>
      </c>
      <c r="M25">
        <f>MAX(D25:K25)</f>
        <v>2</v>
      </c>
    </row>
    <row r="26" spans="1:13" ht="14.25" customHeight="1" x14ac:dyDescent="0.25">
      <c r="A26">
        <v>177</v>
      </c>
      <c r="B26">
        <v>217</v>
      </c>
      <c r="C26">
        <f>IFERROR(HLOOKUP(VLOOKUP($C$2,Respuestas!$A$2:$HO$11,VALUE(B26)),D26:K27,2,0),"")</f>
        <v>0</v>
      </c>
      <c r="D26" t="s">
        <v>244</v>
      </c>
      <c r="E26" t="s">
        <v>256</v>
      </c>
    </row>
    <row r="27" spans="1:13" ht="14.25" customHeight="1" x14ac:dyDescent="0.25">
      <c r="D27" s="32">
        <v>2</v>
      </c>
      <c r="E27" s="32">
        <v>0</v>
      </c>
      <c r="F27" s="33"/>
      <c r="G27" s="33"/>
      <c r="H27" s="33"/>
      <c r="I27" s="33"/>
      <c r="J27" s="33"/>
      <c r="K27" s="33"/>
      <c r="L27">
        <f>MIN(D27:K27)</f>
        <v>0</v>
      </c>
      <c r="M27">
        <f>MAX(D27:K27)</f>
        <v>2</v>
      </c>
    </row>
    <row r="28" spans="1:13" ht="14.25" customHeight="1" x14ac:dyDescent="0.25">
      <c r="A28">
        <v>178</v>
      </c>
      <c r="B28">
        <v>218</v>
      </c>
      <c r="C28">
        <f>IFERROR(HLOOKUP(VLOOKUP($C$2,Respuestas!$A$2:$HO$11,VALUE(B28)),D28:K29,2,0),"")</f>
        <v>0</v>
      </c>
      <c r="D28" t="s">
        <v>244</v>
      </c>
      <c r="E28" t="s">
        <v>256</v>
      </c>
    </row>
    <row r="29" spans="1:13" ht="14.25" customHeight="1" x14ac:dyDescent="0.25">
      <c r="D29" s="32">
        <v>1</v>
      </c>
      <c r="E29" s="32">
        <v>0</v>
      </c>
      <c r="F29" s="33"/>
      <c r="G29" s="33"/>
      <c r="H29" s="33"/>
      <c r="I29" s="33"/>
      <c r="J29" s="33"/>
      <c r="K29" s="33"/>
      <c r="L29">
        <f>MIN(D29:K29)</f>
        <v>0</v>
      </c>
      <c r="M29">
        <f>MAX(D29:K29)</f>
        <v>1</v>
      </c>
    </row>
    <row r="30" spans="1:13" ht="14.25" customHeight="1" x14ac:dyDescent="0.25">
      <c r="A30">
        <v>179</v>
      </c>
      <c r="B30">
        <v>219</v>
      </c>
      <c r="C30">
        <f>IFERROR(HLOOKUP(VLOOKUP($C$2,Respuestas!$A$2:$HO$11,VALUE(B30)),D30:K31,2,0),"")</f>
        <v>0</v>
      </c>
      <c r="D30" t="s">
        <v>244</v>
      </c>
      <c r="E30" t="s">
        <v>256</v>
      </c>
    </row>
    <row r="31" spans="1:13" ht="14.25" customHeight="1" x14ac:dyDescent="0.25">
      <c r="D31" s="32">
        <v>3</v>
      </c>
      <c r="E31" s="32">
        <v>0</v>
      </c>
      <c r="F31" s="33"/>
      <c r="G31" s="33"/>
      <c r="H31" s="33"/>
      <c r="I31" s="33"/>
      <c r="J31" s="33"/>
      <c r="K31" s="33"/>
      <c r="L31">
        <f>MIN(D31:K31)</f>
        <v>0</v>
      </c>
      <c r="M31">
        <f>MAX(D31:K31)</f>
        <v>3</v>
      </c>
    </row>
    <row r="32" spans="1:13" ht="14.25" customHeight="1" x14ac:dyDescent="0.25">
      <c r="A32">
        <v>180</v>
      </c>
      <c r="B32">
        <v>220</v>
      </c>
      <c r="C32">
        <f>IFERROR(HLOOKUP(VLOOKUP($C$2,Respuestas!$A$2:$HO$11,VALUE(B32)),D32:K33,2,0),"")</f>
        <v>0</v>
      </c>
      <c r="D32" t="s">
        <v>244</v>
      </c>
      <c r="E32" t="s">
        <v>256</v>
      </c>
    </row>
    <row r="33" spans="1:13" ht="14.25" customHeight="1" x14ac:dyDescent="0.25">
      <c r="D33" s="32">
        <v>2</v>
      </c>
      <c r="E33" s="32">
        <v>0</v>
      </c>
      <c r="F33" s="33"/>
      <c r="G33" s="33"/>
      <c r="H33" s="33"/>
      <c r="I33" s="33"/>
      <c r="J33" s="33"/>
      <c r="K33" s="33"/>
      <c r="L33">
        <f>MIN(D33:K33)</f>
        <v>0</v>
      </c>
      <c r="M33">
        <f>MAX(D33:K33)</f>
        <v>2</v>
      </c>
    </row>
    <row r="34" spans="1:13" ht="14.25" customHeight="1" x14ac:dyDescent="0.25">
      <c r="A34">
        <v>181</v>
      </c>
      <c r="B34">
        <v>221</v>
      </c>
      <c r="C34">
        <f>IFERROR(HLOOKUP(VLOOKUP($C$2,Respuestas!$A$2:$HO$11,VALUE(B34)),D34:K35,2,0),"")</f>
        <v>0</v>
      </c>
      <c r="D34" t="s">
        <v>244</v>
      </c>
      <c r="E34" t="s">
        <v>256</v>
      </c>
    </row>
    <row r="35" spans="1:13" ht="14.25" customHeight="1" x14ac:dyDescent="0.25">
      <c r="D35" s="32">
        <v>2</v>
      </c>
      <c r="E35" s="32">
        <v>0</v>
      </c>
      <c r="F35" s="33"/>
      <c r="G35" s="33"/>
      <c r="H35" s="33"/>
      <c r="I35" s="33"/>
      <c r="J35" s="33"/>
      <c r="K35" s="33"/>
      <c r="L35">
        <f>MIN(D35:K35)</f>
        <v>0</v>
      </c>
      <c r="M35">
        <f>MAX(D35:K35)</f>
        <v>2</v>
      </c>
    </row>
    <row r="36" spans="1:13" ht="14.25" customHeight="1" x14ac:dyDescent="0.25">
      <c r="A36">
        <v>182</v>
      </c>
      <c r="B36">
        <v>222</v>
      </c>
      <c r="C36">
        <f>IFERROR(HLOOKUP(VLOOKUP($C$2,Respuestas!$A$2:$HO$11,VALUE(B36)),D36:K37,2,0),"")</f>
        <v>1</v>
      </c>
      <c r="D36" t="s">
        <v>244</v>
      </c>
      <c r="E36" t="s">
        <v>256</v>
      </c>
    </row>
    <row r="37" spans="1:13" ht="14.25" customHeight="1" x14ac:dyDescent="0.25">
      <c r="D37" s="32">
        <v>3</v>
      </c>
      <c r="E37" s="32">
        <v>1</v>
      </c>
      <c r="F37" s="33"/>
      <c r="G37" s="33"/>
      <c r="H37" s="33"/>
      <c r="I37" s="33"/>
      <c r="J37" s="33"/>
      <c r="K37" s="33"/>
      <c r="L37">
        <f>MIN(D37:K37)</f>
        <v>1</v>
      </c>
      <c r="M37">
        <f>MAX(D37:K37)</f>
        <v>3</v>
      </c>
    </row>
    <row r="38" spans="1:13" ht="14.25" customHeight="1" x14ac:dyDescent="0.25">
      <c r="A38">
        <v>183</v>
      </c>
      <c r="B38">
        <v>223</v>
      </c>
      <c r="C38">
        <f>IFERROR(HLOOKUP(VLOOKUP($C$2,Respuestas!$A$2:$HO$11,VALUE(B38)),D38:K39,2,0),"")</f>
        <v>0</v>
      </c>
      <c r="D38" t="s">
        <v>244</v>
      </c>
      <c r="E38" t="s">
        <v>256</v>
      </c>
    </row>
    <row r="39" spans="1:13" ht="14.25" customHeight="1" x14ac:dyDescent="0.25">
      <c r="D39" s="32">
        <v>2</v>
      </c>
      <c r="E39" s="32">
        <v>0</v>
      </c>
      <c r="F39" s="33"/>
      <c r="G39" s="33"/>
      <c r="H39" s="33"/>
      <c r="I39" s="33"/>
      <c r="J39" s="33"/>
      <c r="K39" s="33"/>
      <c r="L39">
        <f>MIN(D39:K39)</f>
        <v>0</v>
      </c>
      <c r="M39">
        <f>MAX(D39:K39)</f>
        <v>2</v>
      </c>
    </row>
    <row r="40" spans="1:13" ht="14.25" customHeight="1" x14ac:dyDescent="0.25"/>
    <row r="41" spans="1:13" ht="14.25" customHeight="1" x14ac:dyDescent="0.25"/>
    <row r="42" spans="1:13" ht="14.25" customHeight="1" x14ac:dyDescent="0.25"/>
    <row r="43" spans="1:13" ht="14.25" customHeight="1" x14ac:dyDescent="0.25"/>
    <row r="44" spans="1:13" ht="14.25" customHeight="1" x14ac:dyDescent="0.25"/>
    <row r="45" spans="1:13" ht="14.25" customHeight="1" x14ac:dyDescent="0.25"/>
    <row r="46" spans="1:13" ht="14.25" customHeight="1" x14ac:dyDescent="0.25"/>
    <row r="47" spans="1:13" ht="14.25" customHeight="1" x14ac:dyDescent="0.25"/>
    <row r="48" spans="1: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EEAF6"/>
  </sheetPr>
  <dimension ref="A1:M139"/>
  <sheetViews>
    <sheetView workbookViewId="0"/>
  </sheetViews>
  <sheetFormatPr baseColWidth="10" defaultColWidth="14.42578125" defaultRowHeight="15" customHeight="1" x14ac:dyDescent="0.25"/>
  <cols>
    <col min="1" max="13" width="10.7109375" customWidth="1"/>
  </cols>
  <sheetData>
    <row r="1" spans="1:13" ht="14.25" customHeight="1" x14ac:dyDescent="0.25">
      <c r="C1">
        <f>SUM(C4:C244)</f>
        <v>39.333333333333336</v>
      </c>
      <c r="L1">
        <f t="shared" ref="L1:M1" si="0">SUM(L4:L244)</f>
        <v>27</v>
      </c>
      <c r="M1">
        <f t="shared" si="0"/>
        <v>148</v>
      </c>
    </row>
    <row r="2" spans="1:13" ht="14.25" customHeight="1" x14ac:dyDescent="0.25">
      <c r="C2">
        <f>+'Reporte Ind'!B1</f>
        <v>4</v>
      </c>
    </row>
    <row r="3" spans="1:13" ht="14.25" customHeight="1" x14ac:dyDescent="0.25">
      <c r="A3" t="s">
        <v>407</v>
      </c>
      <c r="B3" t="s">
        <v>408</v>
      </c>
      <c r="C3" t="s">
        <v>409</v>
      </c>
      <c r="D3" t="s">
        <v>410</v>
      </c>
    </row>
    <row r="4" spans="1:13" ht="14.25" customHeight="1" x14ac:dyDescent="0.25">
      <c r="A4">
        <v>23</v>
      </c>
      <c r="B4">
        <v>28</v>
      </c>
      <c r="C4">
        <f>IFERROR(HLOOKUP(VLOOKUP($C$2,Respuestas!$A$2:$HO$11,VALUE(B4)),D4:K5,2,0),"")</f>
        <v>1</v>
      </c>
      <c r="D4" s="32" t="s">
        <v>449</v>
      </c>
      <c r="E4" s="32" t="s">
        <v>243</v>
      </c>
      <c r="F4" s="32" t="s">
        <v>374</v>
      </c>
      <c r="G4" s="33"/>
      <c r="H4" s="33"/>
      <c r="I4" s="33"/>
      <c r="J4" s="33"/>
      <c r="K4" s="33"/>
    </row>
    <row r="5" spans="1:13" ht="14.25" customHeight="1" x14ac:dyDescent="0.25">
      <c r="D5" s="32">
        <v>3</v>
      </c>
      <c r="E5" s="32">
        <v>1</v>
      </c>
      <c r="F5" s="32">
        <v>2</v>
      </c>
      <c r="G5" s="33"/>
      <c r="H5" s="33"/>
      <c r="I5" s="33"/>
      <c r="J5" s="33"/>
      <c r="K5" s="33"/>
      <c r="L5">
        <f>MIN(D5:K5)</f>
        <v>1</v>
      </c>
      <c r="M5">
        <f>MAX(D5:K5)</f>
        <v>3</v>
      </c>
    </row>
    <row r="6" spans="1:13" ht="14.25" customHeight="1" x14ac:dyDescent="0.25">
      <c r="A6">
        <v>24</v>
      </c>
      <c r="B6">
        <v>29</v>
      </c>
      <c r="C6">
        <f>IFERROR(HLOOKUP(VLOOKUP($C$2,Respuestas!$A$2:$HO$11,VALUE(B6)),D6:K7,2,0),"")</f>
        <v>1</v>
      </c>
      <c r="D6" t="s">
        <v>244</v>
      </c>
      <c r="E6" t="s">
        <v>256</v>
      </c>
    </row>
    <row r="7" spans="1:13" ht="14.25" customHeight="1" x14ac:dyDescent="0.25">
      <c r="D7" s="32">
        <v>1</v>
      </c>
      <c r="E7" s="32">
        <v>2</v>
      </c>
      <c r="F7" s="33"/>
      <c r="G7" s="33"/>
      <c r="H7" s="33"/>
      <c r="I7" s="33"/>
      <c r="J7" s="33"/>
      <c r="K7" s="33"/>
      <c r="L7">
        <f>MIN(D7:K7)</f>
        <v>1</v>
      </c>
      <c r="M7">
        <f>MAX(D7:K7)</f>
        <v>2</v>
      </c>
    </row>
    <row r="8" spans="1:13" ht="14.25" customHeight="1" x14ac:dyDescent="0.25">
      <c r="A8">
        <v>25</v>
      </c>
      <c r="B8">
        <v>30</v>
      </c>
      <c r="C8">
        <f>IFERROR(HLOOKUP(VLOOKUP($C$2,Respuestas!$A$2:$HO$11,VALUE(B8)),D8:K9,2,0),"")</f>
        <v>2</v>
      </c>
      <c r="D8" t="s">
        <v>245</v>
      </c>
      <c r="E8" t="s">
        <v>375</v>
      </c>
      <c r="F8" t="s">
        <v>450</v>
      </c>
    </row>
    <row r="9" spans="1:13" ht="14.25" customHeight="1" x14ac:dyDescent="0.25">
      <c r="D9" s="32">
        <v>2</v>
      </c>
      <c r="E9" s="32">
        <v>1</v>
      </c>
      <c r="F9" s="32">
        <v>2</v>
      </c>
      <c r="G9" s="33"/>
      <c r="H9" s="33"/>
      <c r="I9" s="33"/>
      <c r="J9" s="33"/>
      <c r="K9" s="33"/>
      <c r="L9">
        <f>MIN(D9:K9)</f>
        <v>1</v>
      </c>
      <c r="M9">
        <f>MAX(D9:K9)</f>
        <v>2</v>
      </c>
    </row>
    <row r="10" spans="1:13" ht="14.25" customHeight="1" x14ac:dyDescent="0.25">
      <c r="A10">
        <v>26</v>
      </c>
      <c r="B10">
        <v>31</v>
      </c>
      <c r="C10">
        <f>IFERROR(HLOOKUP(VLOOKUP($C$2,Respuestas!$A$2:$HO$11,VALUE(B10)),D10:K11,2,0),"")</f>
        <v>1</v>
      </c>
      <c r="D10" t="s">
        <v>334</v>
      </c>
      <c r="E10" t="s">
        <v>451</v>
      </c>
      <c r="F10" t="s">
        <v>246</v>
      </c>
    </row>
    <row r="11" spans="1:13" ht="14.25" customHeight="1" x14ac:dyDescent="0.25">
      <c r="D11" s="32">
        <v>2</v>
      </c>
      <c r="E11" s="32">
        <v>2</v>
      </c>
      <c r="F11" s="32">
        <v>1</v>
      </c>
      <c r="G11" s="33"/>
      <c r="H11" s="33"/>
      <c r="I11" s="33"/>
      <c r="J11" s="33"/>
      <c r="K11" s="33"/>
      <c r="L11">
        <f>MIN(D11:K11)</f>
        <v>1</v>
      </c>
      <c r="M11">
        <f>MAX(D11:K11)</f>
        <v>2</v>
      </c>
    </row>
    <row r="12" spans="1:13" ht="14.25" customHeight="1" x14ac:dyDescent="0.25">
      <c r="A12">
        <v>27</v>
      </c>
      <c r="B12">
        <v>32</v>
      </c>
      <c r="C12">
        <f>IFERROR(HLOOKUP(VLOOKUP($C$2,Respuestas!$A$2:$HO$11,VALUE(B12)),D12:K13,2,0),"")</f>
        <v>0</v>
      </c>
      <c r="D12" t="s">
        <v>335</v>
      </c>
      <c r="E12" t="s">
        <v>376</v>
      </c>
      <c r="F12" t="s">
        <v>452</v>
      </c>
      <c r="G12" t="s">
        <v>453</v>
      </c>
      <c r="H12" t="s">
        <v>247</v>
      </c>
    </row>
    <row r="13" spans="1:13" ht="14.25" customHeight="1" x14ac:dyDescent="0.25">
      <c r="D13" s="32">
        <v>2</v>
      </c>
      <c r="E13" s="32">
        <v>2</v>
      </c>
      <c r="F13" s="32">
        <v>3</v>
      </c>
      <c r="G13" s="32">
        <v>3</v>
      </c>
      <c r="H13" s="32">
        <v>0</v>
      </c>
      <c r="I13" s="33"/>
      <c r="J13" s="33"/>
      <c r="K13" s="33"/>
      <c r="L13">
        <f>MIN(D13:K13)</f>
        <v>0</v>
      </c>
      <c r="M13">
        <f>MAX(D13:K13)</f>
        <v>3</v>
      </c>
    </row>
    <row r="14" spans="1:13" ht="14.25" customHeight="1" x14ac:dyDescent="0.25">
      <c r="A14">
        <v>28</v>
      </c>
      <c r="B14">
        <v>33</v>
      </c>
      <c r="C14">
        <f>IFERROR(HLOOKUP(VLOOKUP($C$2,Respuestas!$A$2:$HO$11,VALUE(B14)),D14:K15,2,0),"")</f>
        <v>0</v>
      </c>
      <c r="D14" t="s">
        <v>300</v>
      </c>
      <c r="E14" t="s">
        <v>454</v>
      </c>
      <c r="F14" t="s">
        <v>455</v>
      </c>
      <c r="G14" t="s">
        <v>456</v>
      </c>
      <c r="H14" t="s">
        <v>336</v>
      </c>
      <c r="I14" t="s">
        <v>457</v>
      </c>
      <c r="J14" t="s">
        <v>248</v>
      </c>
      <c r="K14" t="s">
        <v>458</v>
      </c>
    </row>
    <row r="15" spans="1:13" ht="14.25" customHeight="1" x14ac:dyDescent="0.25">
      <c r="D15" s="32">
        <v>2</v>
      </c>
      <c r="E15" s="32">
        <v>4</v>
      </c>
      <c r="F15" s="32">
        <v>5</v>
      </c>
      <c r="G15" s="32">
        <v>5</v>
      </c>
      <c r="H15" s="32">
        <v>5</v>
      </c>
      <c r="I15" s="32">
        <v>5</v>
      </c>
      <c r="J15" s="32">
        <v>0</v>
      </c>
      <c r="K15" s="32">
        <v>3</v>
      </c>
      <c r="L15">
        <f>MIN(D15:K15)</f>
        <v>0</v>
      </c>
      <c r="M15">
        <f>MAX(D15:K15)</f>
        <v>5</v>
      </c>
    </row>
    <row r="16" spans="1:13" ht="14.25" customHeight="1" x14ac:dyDescent="0.25">
      <c r="A16">
        <v>29</v>
      </c>
      <c r="B16">
        <v>34</v>
      </c>
      <c r="C16">
        <f>IFERROR(HLOOKUP(VLOOKUP($C$2,Respuestas!$A$2:$HO$11,VALUE(B16)),D16:K17,2,0),"")</f>
        <v>0</v>
      </c>
      <c r="D16" t="s">
        <v>459</v>
      </c>
      <c r="E16" t="s">
        <v>301</v>
      </c>
      <c r="F16" t="s">
        <v>249</v>
      </c>
      <c r="G16" t="s">
        <v>460</v>
      </c>
    </row>
    <row r="17" spans="1:13" ht="14.25" customHeight="1" x14ac:dyDescent="0.25">
      <c r="D17" s="32">
        <v>3</v>
      </c>
      <c r="E17" s="32">
        <v>2</v>
      </c>
      <c r="F17" s="32">
        <v>0</v>
      </c>
      <c r="G17" s="32">
        <v>3</v>
      </c>
      <c r="H17" s="33"/>
      <c r="I17" s="33"/>
      <c r="J17" s="33"/>
      <c r="K17" s="33"/>
      <c r="L17">
        <f>MIN(D17:K17)</f>
        <v>0</v>
      </c>
      <c r="M17">
        <f>MAX(D17:K17)</f>
        <v>3</v>
      </c>
    </row>
    <row r="18" spans="1:13" ht="14.25" customHeight="1" x14ac:dyDescent="0.25">
      <c r="A18">
        <v>30</v>
      </c>
      <c r="B18">
        <v>35</v>
      </c>
      <c r="C18" t="str">
        <f>IF(VLOOKUP($C$2,Respuestas!$A$2:$HO$11,VALUE(B18),0)=0, " ", VLOOKUP($C$2,Respuestas!$A$2:$HO$11,VALUE(B18),0))</f>
        <v>No le molestan estos aspectos</v>
      </c>
      <c r="D18" t="s">
        <v>250</v>
      </c>
    </row>
    <row r="19" spans="1:13" ht="14.25" customHeight="1" x14ac:dyDescent="0.25">
      <c r="C19">
        <f>IF(C18=D18,D19,(LEN(C18)-LEN(SUBSTITUTE(C18,",", ""))+1))</f>
        <v>1</v>
      </c>
      <c r="D19" s="32">
        <v>1</v>
      </c>
      <c r="E19" s="33"/>
      <c r="F19" s="33"/>
      <c r="G19" s="33"/>
      <c r="H19" s="33"/>
      <c r="I19" s="33"/>
      <c r="J19" s="33"/>
      <c r="K19" s="33"/>
      <c r="L19">
        <f>MIN(D19:K19)</f>
        <v>1</v>
      </c>
      <c r="M19">
        <f>MAX(D19:K19)</f>
        <v>1</v>
      </c>
    </row>
    <row r="20" spans="1:13" ht="14.25" customHeight="1" x14ac:dyDescent="0.25">
      <c r="A20">
        <v>31</v>
      </c>
      <c r="B20">
        <v>36</v>
      </c>
      <c r="C20">
        <f>IFERROR(HLOOKUP(VLOOKUP($C$2,Respuestas!$A$2:$HO$11,VALUE(B20)),D20:K21,2,0),"")</f>
        <v>1</v>
      </c>
      <c r="D20" t="s">
        <v>244</v>
      </c>
      <c r="E20" t="s">
        <v>256</v>
      </c>
    </row>
    <row r="21" spans="1:13" ht="14.25" customHeight="1" x14ac:dyDescent="0.25">
      <c r="D21" s="32">
        <v>2</v>
      </c>
      <c r="E21" s="32">
        <v>1</v>
      </c>
      <c r="F21" s="33"/>
      <c r="G21" s="33"/>
      <c r="H21" s="33"/>
      <c r="I21" s="33"/>
      <c r="J21" s="33"/>
      <c r="K21" s="33"/>
      <c r="L21">
        <f>MIN(D21:K21)</f>
        <v>1</v>
      </c>
      <c r="M21">
        <f>MAX(D21:K21)</f>
        <v>2</v>
      </c>
    </row>
    <row r="22" spans="1:13" ht="14.25" customHeight="1" x14ac:dyDescent="0.25">
      <c r="A22">
        <v>32</v>
      </c>
      <c r="B22">
        <v>37</v>
      </c>
      <c r="C22" t="str">
        <f>IFERROR(HLOOKUP(VLOOKUP($C$2,Respuestas!$A$2:$HO$11,VALUE(B22)),D22:K23,2,0),"")</f>
        <v/>
      </c>
      <c r="D22" t="s">
        <v>251</v>
      </c>
      <c r="E22" t="s">
        <v>303</v>
      </c>
      <c r="F22" t="s">
        <v>378</v>
      </c>
    </row>
    <row r="23" spans="1:13" ht="14.25" customHeight="1" x14ac:dyDescent="0.25">
      <c r="D23" s="32">
        <v>1</v>
      </c>
      <c r="E23" s="32">
        <v>2</v>
      </c>
      <c r="F23" s="32">
        <v>3</v>
      </c>
      <c r="G23" s="33"/>
      <c r="H23" s="33"/>
      <c r="I23" s="33"/>
      <c r="J23" s="33"/>
      <c r="K23" s="33"/>
      <c r="L23">
        <f>MIN(D23:K23)</f>
        <v>1</v>
      </c>
      <c r="M23">
        <f>MAX(D23:K23)</f>
        <v>3</v>
      </c>
    </row>
    <row r="24" spans="1:13" ht="14.25" customHeight="1" x14ac:dyDescent="0.25">
      <c r="A24">
        <v>33</v>
      </c>
      <c r="B24">
        <v>38</v>
      </c>
      <c r="C24" t="str">
        <f>IFERROR(HLOOKUP(VLOOKUP($C$2,Respuestas!$A$2:$HO$11,VALUE(B24)),D24:K25,2,0),"")</f>
        <v/>
      </c>
      <c r="D24" t="s">
        <v>379</v>
      </c>
      <c r="E24" t="s">
        <v>461</v>
      </c>
      <c r="F24" t="s">
        <v>462</v>
      </c>
      <c r="G24" t="s">
        <v>463</v>
      </c>
      <c r="H24" t="s">
        <v>304</v>
      </c>
      <c r="I24" t="s">
        <v>464</v>
      </c>
      <c r="J24" t="s">
        <v>458</v>
      </c>
    </row>
    <row r="25" spans="1:13" ht="14.25" customHeight="1" x14ac:dyDescent="0.25">
      <c r="D25" s="32">
        <v>3</v>
      </c>
      <c r="E25" s="32">
        <v>3</v>
      </c>
      <c r="F25" s="32">
        <v>3</v>
      </c>
      <c r="G25" s="32">
        <v>1</v>
      </c>
      <c r="H25" s="32">
        <v>1</v>
      </c>
      <c r="I25" s="32">
        <v>0</v>
      </c>
      <c r="J25" s="32">
        <v>2</v>
      </c>
      <c r="K25" s="33"/>
      <c r="L25">
        <f>MIN(D25:K25)</f>
        <v>0</v>
      </c>
      <c r="M25">
        <f>MAX(D25:K25)</f>
        <v>3</v>
      </c>
    </row>
    <row r="26" spans="1:13" ht="14.25" customHeight="1" x14ac:dyDescent="0.25">
      <c r="A26">
        <v>34</v>
      </c>
      <c r="B26">
        <v>39</v>
      </c>
      <c r="C26" t="str">
        <f>IFERROR(HLOOKUP(VLOOKUP($C$2,Respuestas!$A$2:$HO$11,VALUE(B26)),D26:K27,2,0),"")</f>
        <v/>
      </c>
      <c r="D26" t="s">
        <v>465</v>
      </c>
      <c r="E26" t="s">
        <v>253</v>
      </c>
      <c r="F26" t="s">
        <v>305</v>
      </c>
      <c r="G26" t="s">
        <v>380</v>
      </c>
    </row>
    <row r="27" spans="1:13" ht="14.25" customHeight="1" x14ac:dyDescent="0.25">
      <c r="D27" s="32">
        <v>1</v>
      </c>
      <c r="E27" s="32">
        <v>2</v>
      </c>
      <c r="F27" s="32">
        <v>3</v>
      </c>
      <c r="G27" s="32">
        <v>4</v>
      </c>
      <c r="H27" s="33"/>
      <c r="I27" s="33"/>
      <c r="J27" s="33"/>
      <c r="K27" s="33"/>
      <c r="L27">
        <f>MIN(D27:K27)</f>
        <v>1</v>
      </c>
      <c r="M27">
        <f>MAX(D27:K27)</f>
        <v>4</v>
      </c>
    </row>
    <row r="28" spans="1:13" ht="14.25" customHeight="1" x14ac:dyDescent="0.25">
      <c r="A28">
        <v>35</v>
      </c>
      <c r="B28">
        <v>40</v>
      </c>
      <c r="C28" t="str">
        <f>IFERROR(HLOOKUP(VLOOKUP($C$2,Respuestas!$A$2:$HO$11,VALUE(B28)),D28:K29,2,0),"")</f>
        <v/>
      </c>
      <c r="D28" t="s">
        <v>466</v>
      </c>
      <c r="E28" t="s">
        <v>467</v>
      </c>
      <c r="F28" t="s">
        <v>468</v>
      </c>
      <c r="G28" t="s">
        <v>254</v>
      </c>
    </row>
    <row r="29" spans="1:13" ht="14.25" customHeight="1" x14ac:dyDescent="0.25">
      <c r="D29" s="32">
        <v>1</v>
      </c>
      <c r="E29" s="32">
        <v>2</v>
      </c>
      <c r="F29" s="32">
        <v>3</v>
      </c>
      <c r="G29" s="32">
        <v>4</v>
      </c>
      <c r="H29" s="33"/>
      <c r="I29" s="33"/>
      <c r="J29" s="33"/>
      <c r="K29" s="33"/>
      <c r="L29">
        <f>MIN(D29:K29)</f>
        <v>1</v>
      </c>
      <c r="M29">
        <f>MAX(D29:K29)</f>
        <v>4</v>
      </c>
    </row>
    <row r="30" spans="1:13" ht="14.25" customHeight="1" x14ac:dyDescent="0.25">
      <c r="A30">
        <v>36</v>
      </c>
      <c r="B30">
        <v>41</v>
      </c>
      <c r="C30">
        <f>IFERROR(HLOOKUP(VLOOKUP($C$2,Respuestas!$A$2:$HO$11,VALUE(B30)),D30:K31,2,0),"")</f>
        <v>1</v>
      </c>
      <c r="D30" t="s">
        <v>255</v>
      </c>
      <c r="E30" t="s">
        <v>338</v>
      </c>
      <c r="F30" t="s">
        <v>342</v>
      </c>
    </row>
    <row r="31" spans="1:13" ht="14.25" customHeight="1" x14ac:dyDescent="0.25">
      <c r="D31" s="32">
        <v>1</v>
      </c>
      <c r="E31" s="32">
        <v>2</v>
      </c>
      <c r="F31" s="32">
        <v>3</v>
      </c>
      <c r="G31" s="33"/>
      <c r="H31" s="33"/>
      <c r="I31" s="33"/>
      <c r="J31" s="33"/>
      <c r="K31" s="33"/>
      <c r="L31">
        <f>MIN(D31:K31)</f>
        <v>1</v>
      </c>
      <c r="M31">
        <f>MAX(D31:K31)</f>
        <v>3</v>
      </c>
    </row>
    <row r="32" spans="1:13" ht="14.25" customHeight="1" x14ac:dyDescent="0.25">
      <c r="A32">
        <v>37</v>
      </c>
      <c r="B32">
        <v>42</v>
      </c>
      <c r="C32">
        <f>IFERROR(HLOOKUP(VLOOKUP($C$2,Respuestas!$A$2:$HO$11,VALUE(B32)),D32:K33,2,0),"")</f>
        <v>1</v>
      </c>
      <c r="D32" t="s">
        <v>244</v>
      </c>
      <c r="E32" t="s">
        <v>256</v>
      </c>
    </row>
    <row r="33" spans="1:13" ht="14.25" customHeight="1" x14ac:dyDescent="0.25">
      <c r="D33" s="32">
        <v>2</v>
      </c>
      <c r="E33" s="32">
        <v>1</v>
      </c>
      <c r="F33" s="33"/>
      <c r="G33" s="33"/>
      <c r="H33" s="33"/>
      <c r="I33" s="33"/>
      <c r="J33" s="33"/>
      <c r="K33" s="33"/>
      <c r="L33">
        <f>MIN(D33:K33)</f>
        <v>1</v>
      </c>
      <c r="M33">
        <f>MAX(D33:K33)</f>
        <v>2</v>
      </c>
    </row>
    <row r="34" spans="1:13" ht="14.25" customHeight="1" x14ac:dyDescent="0.25">
      <c r="A34">
        <v>38</v>
      </c>
      <c r="B34">
        <v>43</v>
      </c>
      <c r="C34" t="str">
        <f>IF(VLOOKUP($C$2,Respuestas!$A$2:$HO$11,VALUE(B34),0)=0, " ", VLOOKUP($C$2,Respuestas!$A$2:$HO$11,VALUE(B34),0))</f>
        <v xml:space="preserve"> </v>
      </c>
    </row>
    <row r="35" spans="1:13" ht="14.25" customHeight="1" x14ac:dyDescent="0.25">
      <c r="C35">
        <f>IF(C34=D34,D35,(LEN(C34)-LEN(SUBSTITUTE(C34,",", ""))+1))/3</f>
        <v>0.33333333333333331</v>
      </c>
      <c r="D35" s="33"/>
      <c r="E35" s="33"/>
      <c r="F35" s="33"/>
      <c r="G35" s="33"/>
      <c r="H35" s="33"/>
      <c r="I35" s="33"/>
      <c r="J35" s="33"/>
      <c r="K35" s="33"/>
      <c r="L35">
        <f>MIN(D35:K35)</f>
        <v>0</v>
      </c>
      <c r="M35">
        <f>MAX(D35:K35)</f>
        <v>0</v>
      </c>
    </row>
    <row r="36" spans="1:13" ht="14.25" customHeight="1" x14ac:dyDescent="0.25">
      <c r="A36">
        <v>39</v>
      </c>
      <c r="B36">
        <v>44</v>
      </c>
      <c r="C36" t="str">
        <f>IFERROR(HLOOKUP(VLOOKUP($C$2,Respuestas!$A$2:$HO$11,VALUE(B36)),D36:K37,2,0),"")</f>
        <v/>
      </c>
      <c r="D36" t="s">
        <v>268</v>
      </c>
      <c r="E36" t="s">
        <v>256</v>
      </c>
      <c r="F36" t="s">
        <v>469</v>
      </c>
    </row>
    <row r="37" spans="1:13" ht="14.25" customHeight="1" x14ac:dyDescent="0.25">
      <c r="D37" s="32">
        <v>2</v>
      </c>
      <c r="E37" s="32">
        <v>1</v>
      </c>
      <c r="F37" s="32">
        <v>3</v>
      </c>
      <c r="G37" s="33"/>
      <c r="H37" s="33"/>
      <c r="I37" s="33"/>
      <c r="J37" s="33"/>
      <c r="K37" s="33"/>
      <c r="L37">
        <f>MIN(D37:K37)</f>
        <v>1</v>
      </c>
      <c r="M37">
        <f>MAX(D37:K37)</f>
        <v>3</v>
      </c>
    </row>
    <row r="38" spans="1:13" ht="14.25" customHeight="1" x14ac:dyDescent="0.25">
      <c r="A38">
        <v>40</v>
      </c>
      <c r="B38">
        <v>45</v>
      </c>
      <c r="C38" t="str">
        <f>IFERROR(HLOOKUP(VLOOKUP($C$2,Respuestas!$A$2:$HO$11,VALUE(B38)),D38:K39,2,0),"")</f>
        <v/>
      </c>
      <c r="D38" t="s">
        <v>244</v>
      </c>
      <c r="E38" t="s">
        <v>256</v>
      </c>
      <c r="F38" t="s">
        <v>470</v>
      </c>
    </row>
    <row r="39" spans="1:13" ht="14.25" customHeight="1" x14ac:dyDescent="0.25">
      <c r="D39" s="32">
        <v>2</v>
      </c>
      <c r="E39" s="32">
        <v>1</v>
      </c>
      <c r="F39" s="32">
        <v>3</v>
      </c>
      <c r="G39" s="33"/>
      <c r="H39" s="33"/>
      <c r="I39" s="33"/>
      <c r="J39" s="33"/>
      <c r="K39" s="33"/>
      <c r="L39">
        <f>MIN(D39:K39)</f>
        <v>1</v>
      </c>
      <c r="M39">
        <f>MAX(D39:K39)</f>
        <v>3</v>
      </c>
    </row>
    <row r="40" spans="1:13" ht="14.25" customHeight="1" x14ac:dyDescent="0.25">
      <c r="A40">
        <v>41</v>
      </c>
      <c r="B40">
        <v>46</v>
      </c>
      <c r="C40" t="str">
        <f>IFERROR(HLOOKUP(VLOOKUP($C$2,Respuestas!$A$2:$HO$11,VALUE(B40)),D40:K41,2,0),"")</f>
        <v/>
      </c>
      <c r="D40" t="s">
        <v>471</v>
      </c>
      <c r="E40" t="s">
        <v>382</v>
      </c>
      <c r="F40" t="s">
        <v>472</v>
      </c>
      <c r="G40" t="s">
        <v>473</v>
      </c>
      <c r="H40" t="s">
        <v>474</v>
      </c>
      <c r="I40" t="s">
        <v>475</v>
      </c>
      <c r="J40" t="s">
        <v>470</v>
      </c>
    </row>
    <row r="41" spans="1:13" ht="14.25" customHeight="1" x14ac:dyDescent="0.25">
      <c r="D41" s="32"/>
      <c r="E41" s="32"/>
      <c r="F41" s="32"/>
      <c r="G41" s="32"/>
      <c r="H41" s="32"/>
      <c r="I41" s="32"/>
      <c r="J41" s="32"/>
      <c r="K41" s="33"/>
      <c r="L41">
        <f>MIN(D41:K41)</f>
        <v>0</v>
      </c>
      <c r="M41">
        <f>MAX(D41:K41)</f>
        <v>0</v>
      </c>
    </row>
    <row r="42" spans="1:13" ht="14.25" customHeight="1" x14ac:dyDescent="0.25">
      <c r="A42">
        <v>42</v>
      </c>
      <c r="B42">
        <v>47</v>
      </c>
      <c r="C42">
        <f>IFERROR(HLOOKUP(VLOOKUP($C$2,Respuestas!$A$2:$HO$11,VALUE(B42)),D42:K43,2,0),"")</f>
        <v>0</v>
      </c>
      <c r="D42" t="s">
        <v>244</v>
      </c>
      <c r="E42" t="s">
        <v>256</v>
      </c>
    </row>
    <row r="43" spans="1:13" ht="14.25" customHeight="1" x14ac:dyDescent="0.25">
      <c r="D43" s="32">
        <v>2</v>
      </c>
      <c r="E43" s="32">
        <v>0</v>
      </c>
      <c r="F43" s="33"/>
      <c r="G43" s="33"/>
      <c r="H43" s="33"/>
      <c r="I43" s="33"/>
      <c r="J43" s="33"/>
      <c r="K43" s="33"/>
      <c r="L43">
        <f>MIN(D43:K43)</f>
        <v>0</v>
      </c>
      <c r="M43">
        <f>MAX(D43:K43)</f>
        <v>2</v>
      </c>
    </row>
    <row r="44" spans="1:13" ht="14.25" customHeight="1" x14ac:dyDescent="0.25">
      <c r="A44">
        <v>43</v>
      </c>
      <c r="B44">
        <v>48</v>
      </c>
      <c r="C44" t="str">
        <f>IFERROR(HLOOKUP(VLOOKUP($C$2,Respuestas!$A$2:$HO$11,VALUE(B44)),D44:K45,2,0),"")</f>
        <v/>
      </c>
      <c r="D44" t="s">
        <v>476</v>
      </c>
      <c r="E44" t="s">
        <v>383</v>
      </c>
      <c r="F44" t="s">
        <v>477</v>
      </c>
      <c r="G44" t="s">
        <v>478</v>
      </c>
      <c r="H44" t="s">
        <v>479</v>
      </c>
      <c r="I44" t="s">
        <v>480</v>
      </c>
      <c r="J44" t="s">
        <v>441</v>
      </c>
    </row>
    <row r="45" spans="1:13" ht="14.25" customHeight="1" x14ac:dyDescent="0.25">
      <c r="D45" s="32">
        <v>3</v>
      </c>
      <c r="E45" s="32">
        <v>3</v>
      </c>
      <c r="F45" s="32">
        <v>1</v>
      </c>
      <c r="G45" s="32">
        <v>1</v>
      </c>
      <c r="H45" s="32">
        <v>2</v>
      </c>
      <c r="I45" s="32">
        <v>4</v>
      </c>
      <c r="J45" s="32">
        <v>3</v>
      </c>
      <c r="K45" s="33"/>
      <c r="L45">
        <f>MIN(D45:K45)</f>
        <v>1</v>
      </c>
      <c r="M45">
        <f>MAX(D45:K45)</f>
        <v>4</v>
      </c>
    </row>
    <row r="46" spans="1:13" ht="14.25" customHeight="1" x14ac:dyDescent="0.25">
      <c r="A46">
        <v>44</v>
      </c>
      <c r="B46">
        <v>49</v>
      </c>
      <c r="C46" t="str">
        <f>IFERROR(HLOOKUP(VLOOKUP($C$2,Respuestas!$A$2:$HO$11,VALUE(B46)),D46:K47,2,0),"")</f>
        <v/>
      </c>
      <c r="D46" t="s">
        <v>384</v>
      </c>
      <c r="E46" t="s">
        <v>481</v>
      </c>
      <c r="F46" t="s">
        <v>482</v>
      </c>
      <c r="G46" t="s">
        <v>483</v>
      </c>
      <c r="H46" t="s">
        <v>484</v>
      </c>
      <c r="I46" t="s">
        <v>441</v>
      </c>
    </row>
    <row r="47" spans="1:13" ht="14.25" customHeight="1" x14ac:dyDescent="0.25">
      <c r="D47" s="32">
        <v>3</v>
      </c>
      <c r="E47" s="32">
        <v>3</v>
      </c>
      <c r="F47" s="32">
        <v>2</v>
      </c>
      <c r="G47" s="32">
        <v>3</v>
      </c>
      <c r="H47" s="32">
        <v>3</v>
      </c>
      <c r="I47" s="32">
        <v>3</v>
      </c>
      <c r="J47" s="33"/>
      <c r="K47" s="33"/>
      <c r="L47">
        <f>MIN(D47:K47)</f>
        <v>2</v>
      </c>
      <c r="M47">
        <f>MAX(D47:K47)</f>
        <v>3</v>
      </c>
    </row>
    <row r="48" spans="1:13" ht="14.25" customHeight="1" x14ac:dyDescent="0.25">
      <c r="A48">
        <v>45</v>
      </c>
      <c r="B48">
        <v>50</v>
      </c>
      <c r="C48">
        <f>IFERROR(HLOOKUP(VLOOKUP($C$2,Respuestas!$A$2:$HO$11,VALUE(B48)),D48:K49,2,0),"")</f>
        <v>0</v>
      </c>
      <c r="D48" t="s">
        <v>244</v>
      </c>
      <c r="E48" t="s">
        <v>256</v>
      </c>
    </row>
    <row r="49" spans="1:13" ht="14.25" customHeight="1" x14ac:dyDescent="0.25">
      <c r="D49" s="32">
        <v>2</v>
      </c>
      <c r="E49" s="32">
        <v>0</v>
      </c>
      <c r="F49" s="33"/>
      <c r="G49" s="33"/>
      <c r="H49" s="33"/>
      <c r="I49" s="33"/>
      <c r="J49" s="33"/>
      <c r="K49" s="33"/>
      <c r="L49">
        <f>MIN(D49:K49)</f>
        <v>0</v>
      </c>
      <c r="M49">
        <f>MAX(D49:K49)</f>
        <v>2</v>
      </c>
    </row>
    <row r="50" spans="1:13" ht="14.25" customHeight="1" x14ac:dyDescent="0.25">
      <c r="A50">
        <v>46</v>
      </c>
      <c r="B50">
        <v>51</v>
      </c>
      <c r="C50" t="str">
        <f>IFERROR(HLOOKUP(VLOOKUP($C$2,Respuestas!$A$2:$HO$11,VALUE(B50)),D50:K51,2,0),"")</f>
        <v/>
      </c>
      <c r="D50" t="s">
        <v>268</v>
      </c>
      <c r="E50" t="s">
        <v>256</v>
      </c>
    </row>
    <row r="51" spans="1:13" ht="14.25" customHeight="1" x14ac:dyDescent="0.25">
      <c r="D51" s="32">
        <v>2</v>
      </c>
      <c r="E51" s="32">
        <v>0</v>
      </c>
      <c r="F51" s="33"/>
      <c r="G51" s="33"/>
      <c r="H51" s="33"/>
      <c r="I51" s="33"/>
      <c r="J51" s="33"/>
      <c r="K51" s="33"/>
      <c r="L51">
        <f>MIN(D51:K51)</f>
        <v>0</v>
      </c>
      <c r="M51">
        <f>MAX(D51:K51)</f>
        <v>2</v>
      </c>
    </row>
    <row r="52" spans="1:13" ht="14.25" customHeight="1" x14ac:dyDescent="0.25">
      <c r="A52">
        <v>47</v>
      </c>
      <c r="B52">
        <v>52</v>
      </c>
      <c r="C52" t="str">
        <f>IFERROR(HLOOKUP(VLOOKUP($C$2,Respuestas!$A$2:$HO$11,VALUE(B52)),D52:K53,2,0),"")</f>
        <v/>
      </c>
      <c r="D52" t="s">
        <v>244</v>
      </c>
      <c r="E52" t="s">
        <v>256</v>
      </c>
    </row>
    <row r="53" spans="1:13" ht="14.25" customHeight="1" x14ac:dyDescent="0.25">
      <c r="D53" s="32">
        <v>2</v>
      </c>
      <c r="E53" s="32">
        <v>0</v>
      </c>
      <c r="F53" s="33"/>
      <c r="G53" s="33"/>
      <c r="H53" s="33"/>
      <c r="I53" s="33"/>
      <c r="J53" s="33"/>
      <c r="K53" s="33"/>
      <c r="L53">
        <f>MIN(D53:K53)</f>
        <v>0</v>
      </c>
      <c r="M53">
        <f>MAX(D53:K53)</f>
        <v>2</v>
      </c>
    </row>
    <row r="54" spans="1:13" ht="14.25" customHeight="1" x14ac:dyDescent="0.25">
      <c r="A54">
        <v>48</v>
      </c>
      <c r="B54">
        <v>53</v>
      </c>
      <c r="C54" t="str">
        <f>IFERROR(HLOOKUP(VLOOKUP($C$2,Respuestas!$A$2:$HO$11,VALUE(B54)),D54:K55,2,0),"")</f>
        <v/>
      </c>
      <c r="D54" t="s">
        <v>244</v>
      </c>
      <c r="E54" t="s">
        <v>256</v>
      </c>
    </row>
    <row r="55" spans="1:13" ht="14.25" customHeight="1" x14ac:dyDescent="0.25">
      <c r="D55" s="32">
        <v>2</v>
      </c>
      <c r="E55" s="32">
        <v>0</v>
      </c>
      <c r="F55" s="33"/>
      <c r="G55" s="33"/>
      <c r="H55" s="33"/>
      <c r="I55" s="33"/>
      <c r="J55" s="33"/>
      <c r="K55" s="33"/>
      <c r="L55">
        <f>MIN(D55:K55)</f>
        <v>0</v>
      </c>
      <c r="M55">
        <f>MAX(D55:K55)</f>
        <v>2</v>
      </c>
    </row>
    <row r="56" spans="1:13" ht="14.25" customHeight="1" x14ac:dyDescent="0.25">
      <c r="A56">
        <v>49</v>
      </c>
      <c r="B56">
        <v>54</v>
      </c>
      <c r="C56" t="str">
        <f>IFERROR(HLOOKUP(VLOOKUP($C$2,Respuestas!$A$2:$HO$11,VALUE(B56)),D56:K57,2,0),"")</f>
        <v/>
      </c>
      <c r="D56" t="s">
        <v>485</v>
      </c>
      <c r="E56" t="s">
        <v>385</v>
      </c>
      <c r="F56" t="s">
        <v>486</v>
      </c>
      <c r="G56" t="s">
        <v>441</v>
      </c>
      <c r="H56" t="s">
        <v>458</v>
      </c>
    </row>
    <row r="57" spans="1:13" ht="14.25" customHeight="1" x14ac:dyDescent="0.25">
      <c r="D57" s="32">
        <v>4</v>
      </c>
      <c r="E57" s="32">
        <v>4</v>
      </c>
      <c r="F57" s="32">
        <v>3</v>
      </c>
      <c r="G57" s="32">
        <v>0</v>
      </c>
      <c r="H57" s="32">
        <v>3</v>
      </c>
      <c r="I57" s="33"/>
      <c r="J57" s="33"/>
      <c r="K57" s="33"/>
      <c r="L57">
        <f>MIN(D57:K57)</f>
        <v>0</v>
      </c>
      <c r="M57">
        <f>MAX(D57:K57)</f>
        <v>4</v>
      </c>
    </row>
    <row r="58" spans="1:13" ht="14.25" customHeight="1" x14ac:dyDescent="0.25">
      <c r="A58">
        <v>50</v>
      </c>
      <c r="B58">
        <v>55</v>
      </c>
      <c r="C58">
        <f>IFERROR(HLOOKUP(VLOOKUP($C$2,Respuestas!$A$2:$HO$11,VALUE(B58)),D58:K59,2,0),"")</f>
        <v>2</v>
      </c>
      <c r="D58" t="s">
        <v>244</v>
      </c>
      <c r="E58" t="s">
        <v>256</v>
      </c>
    </row>
    <row r="59" spans="1:13" ht="14.25" customHeight="1" x14ac:dyDescent="0.25">
      <c r="D59" s="32">
        <v>0</v>
      </c>
      <c r="E59" s="32">
        <v>2</v>
      </c>
      <c r="F59" s="33"/>
      <c r="G59" s="33"/>
      <c r="H59" s="33"/>
      <c r="I59" s="33"/>
      <c r="J59" s="33"/>
      <c r="K59" s="33"/>
      <c r="L59">
        <f>MIN(D59:K59)</f>
        <v>0</v>
      </c>
      <c r="M59">
        <f>MAX(D59:K59)</f>
        <v>2</v>
      </c>
    </row>
    <row r="60" spans="1:13" ht="14.25" customHeight="1" x14ac:dyDescent="0.25">
      <c r="A60">
        <v>51</v>
      </c>
      <c r="B60">
        <v>56</v>
      </c>
      <c r="C60">
        <f>IFERROR(HLOOKUP(VLOOKUP($C$2,Respuestas!$A$2:$HO$11,VALUE(B60)),D60:K61,2,0),"")</f>
        <v>1</v>
      </c>
      <c r="D60" t="s">
        <v>244</v>
      </c>
      <c r="E60" t="s">
        <v>256</v>
      </c>
    </row>
    <row r="61" spans="1:13" ht="14.25" customHeight="1" x14ac:dyDescent="0.25">
      <c r="D61" s="32">
        <v>0</v>
      </c>
      <c r="E61" s="32">
        <v>1</v>
      </c>
      <c r="F61" s="33"/>
      <c r="G61" s="33"/>
      <c r="H61" s="33"/>
      <c r="I61" s="33"/>
      <c r="J61" s="33"/>
      <c r="K61" s="33"/>
      <c r="L61">
        <f>MIN(D61:K61)</f>
        <v>0</v>
      </c>
      <c r="M61">
        <f>MAX(D61:K61)</f>
        <v>1</v>
      </c>
    </row>
    <row r="62" spans="1:13" ht="14.25" customHeight="1" x14ac:dyDescent="0.25">
      <c r="A62">
        <v>52</v>
      </c>
      <c r="B62">
        <v>57</v>
      </c>
      <c r="C62">
        <f>IFERROR(HLOOKUP(VLOOKUP($C$2,Respuestas!$A$2:$HO$11,VALUE(B62)),D62:K63,2,0),"")</f>
        <v>0</v>
      </c>
      <c r="D62" t="s">
        <v>244</v>
      </c>
      <c r="E62" t="s">
        <v>256</v>
      </c>
    </row>
    <row r="63" spans="1:13" ht="14.25" customHeight="1" x14ac:dyDescent="0.25">
      <c r="D63" s="32">
        <v>0</v>
      </c>
      <c r="E63" s="32">
        <v>2</v>
      </c>
      <c r="F63" s="33"/>
      <c r="G63" s="33"/>
      <c r="H63" s="33"/>
      <c r="I63" s="33"/>
      <c r="J63" s="33"/>
      <c r="K63" s="33"/>
      <c r="L63">
        <f>MIN(D63:K63)</f>
        <v>0</v>
      </c>
      <c r="M63">
        <f>MAX(D63:K63)</f>
        <v>2</v>
      </c>
    </row>
    <row r="64" spans="1:13" ht="14.25" customHeight="1" x14ac:dyDescent="0.25">
      <c r="A64">
        <v>53</v>
      </c>
      <c r="B64">
        <v>58</v>
      </c>
      <c r="C64">
        <f>IFERROR(HLOOKUP(VLOOKUP($C$2,Respuestas!$A$2:$HO$11,VALUE(B64)),D64:K65,2,0),"")</f>
        <v>1</v>
      </c>
      <c r="D64" t="s">
        <v>244</v>
      </c>
      <c r="E64" t="s">
        <v>256</v>
      </c>
    </row>
    <row r="65" spans="1:13" ht="14.25" customHeight="1" x14ac:dyDescent="0.25">
      <c r="D65" s="32">
        <v>0</v>
      </c>
      <c r="E65" s="32">
        <v>1</v>
      </c>
      <c r="F65" s="33"/>
      <c r="G65" s="33"/>
      <c r="H65" s="33"/>
      <c r="I65" s="33"/>
      <c r="J65" s="33"/>
      <c r="K65" s="33"/>
      <c r="L65">
        <f>MIN(D65:K65)</f>
        <v>0</v>
      </c>
      <c r="M65">
        <f>MAX(D65:K65)</f>
        <v>1</v>
      </c>
    </row>
    <row r="66" spans="1:13" ht="14.25" customHeight="1" x14ac:dyDescent="0.25">
      <c r="A66">
        <v>54</v>
      </c>
      <c r="B66">
        <v>59</v>
      </c>
      <c r="C66">
        <f>IFERROR(HLOOKUP(VLOOKUP($C$2,Respuestas!$A$2:$HO$11,VALUE(B66)),D66:K67,2,0),"")</f>
        <v>2</v>
      </c>
      <c r="D66" t="s">
        <v>244</v>
      </c>
      <c r="E66" t="s">
        <v>256</v>
      </c>
    </row>
    <row r="67" spans="1:13" ht="14.25" customHeight="1" x14ac:dyDescent="0.25">
      <c r="D67" s="32">
        <v>0</v>
      </c>
      <c r="E67" s="32">
        <v>2</v>
      </c>
      <c r="F67" s="33"/>
      <c r="G67" s="33"/>
      <c r="H67" s="33"/>
      <c r="I67" s="33"/>
      <c r="J67" s="33"/>
      <c r="K67" s="33"/>
      <c r="L67">
        <f>MIN(D67:K67)</f>
        <v>0</v>
      </c>
      <c r="M67">
        <f>MAX(D67:K67)</f>
        <v>2</v>
      </c>
    </row>
    <row r="68" spans="1:13" ht="14.25" customHeight="1" x14ac:dyDescent="0.25">
      <c r="A68">
        <v>55</v>
      </c>
      <c r="B68">
        <v>60</v>
      </c>
      <c r="C68">
        <f>IFERROR(HLOOKUP(VLOOKUP($C$2,Respuestas!$A$2:$HO$11,VALUE(B68)),D68:K69,2,0),"")</f>
        <v>1</v>
      </c>
      <c r="D68" t="s">
        <v>244</v>
      </c>
      <c r="E68" t="s">
        <v>256</v>
      </c>
    </row>
    <row r="69" spans="1:13" ht="14.25" customHeight="1" x14ac:dyDescent="0.25">
      <c r="D69" s="32">
        <v>0</v>
      </c>
      <c r="E69" s="32">
        <v>1</v>
      </c>
      <c r="F69" s="33"/>
      <c r="G69" s="33"/>
      <c r="H69" s="33"/>
      <c r="I69" s="33"/>
      <c r="J69" s="33"/>
      <c r="K69" s="33"/>
      <c r="L69">
        <f>MIN(D69:K69)</f>
        <v>0</v>
      </c>
      <c r="M69">
        <f>MAX(D69:K69)</f>
        <v>1</v>
      </c>
    </row>
    <row r="70" spans="1:13" ht="14.25" customHeight="1" x14ac:dyDescent="0.25">
      <c r="A70">
        <v>56</v>
      </c>
      <c r="B70">
        <v>61</v>
      </c>
      <c r="C70">
        <f>IFERROR(HLOOKUP(VLOOKUP($C$2,Respuestas!$A$2:$HO$11,VALUE(B70)),D70:K71,2,0),"")</f>
        <v>0</v>
      </c>
      <c r="D70" t="s">
        <v>244</v>
      </c>
      <c r="E70" t="s">
        <v>256</v>
      </c>
    </row>
    <row r="71" spans="1:13" ht="14.25" customHeight="1" x14ac:dyDescent="0.25">
      <c r="D71" s="32">
        <v>2</v>
      </c>
      <c r="E71" s="32">
        <v>0</v>
      </c>
      <c r="F71" s="33"/>
      <c r="G71" s="33"/>
      <c r="H71" s="33"/>
      <c r="I71" s="33"/>
      <c r="J71" s="33"/>
      <c r="K71" s="33"/>
      <c r="L71">
        <f>MIN(D71:K71)</f>
        <v>0</v>
      </c>
      <c r="M71">
        <f>MAX(D71:K71)</f>
        <v>2</v>
      </c>
    </row>
    <row r="72" spans="1:13" ht="14.25" customHeight="1" x14ac:dyDescent="0.25">
      <c r="A72">
        <v>57</v>
      </c>
      <c r="B72">
        <v>62</v>
      </c>
      <c r="C72">
        <f>IFERROR(HLOOKUP(VLOOKUP($C$2,Respuestas!$A$2:$HO$11,VALUE(B72)),D72:K73,2,0),"")</f>
        <v>0</v>
      </c>
      <c r="D72" t="s">
        <v>244</v>
      </c>
      <c r="E72" t="s">
        <v>256</v>
      </c>
    </row>
    <row r="73" spans="1:13" ht="14.25" customHeight="1" x14ac:dyDescent="0.25">
      <c r="D73" s="32">
        <v>2</v>
      </c>
      <c r="E73" s="32">
        <v>0</v>
      </c>
      <c r="F73" s="33"/>
      <c r="G73" s="33"/>
      <c r="H73" s="33"/>
      <c r="I73" s="33"/>
      <c r="J73" s="33"/>
      <c r="K73" s="33"/>
      <c r="L73">
        <f>MIN(D73:K73)</f>
        <v>0</v>
      </c>
      <c r="M73">
        <f>MAX(D73:K73)</f>
        <v>2</v>
      </c>
    </row>
    <row r="74" spans="1:13" ht="14.25" customHeight="1" x14ac:dyDescent="0.25">
      <c r="A74">
        <v>58</v>
      </c>
      <c r="B74">
        <v>63</v>
      </c>
      <c r="C74">
        <f>IFERROR(HLOOKUP(VLOOKUP($C$2,Respuestas!$A$2:$HO$11,VALUE(B74)),D74:K75,2,0),"")</f>
        <v>0</v>
      </c>
      <c r="D74" t="s">
        <v>244</v>
      </c>
      <c r="E74" t="s">
        <v>256</v>
      </c>
    </row>
    <row r="75" spans="1:13" ht="14.25" customHeight="1" x14ac:dyDescent="0.25">
      <c r="D75" s="32">
        <v>2</v>
      </c>
      <c r="E75" s="32">
        <v>0</v>
      </c>
      <c r="F75" s="33"/>
      <c r="G75" s="33"/>
      <c r="H75" s="33"/>
      <c r="I75" s="33"/>
      <c r="J75" s="33"/>
      <c r="K75" s="33"/>
      <c r="L75">
        <f>MIN(D75:K75)</f>
        <v>0</v>
      </c>
      <c r="M75">
        <f>MAX(D75:K75)</f>
        <v>2</v>
      </c>
    </row>
    <row r="76" spans="1:13" ht="14.25" customHeight="1" x14ac:dyDescent="0.25">
      <c r="A76">
        <v>59</v>
      </c>
      <c r="B76">
        <v>64</v>
      </c>
      <c r="C76" t="str">
        <f>IFERROR(HLOOKUP(VLOOKUP($C$2,Respuestas!$A$2:$HO$11,VALUE(B76)),D76:K77,2,0),"")</f>
        <v/>
      </c>
      <c r="D76" t="s">
        <v>487</v>
      </c>
      <c r="E76" t="s">
        <v>488</v>
      </c>
      <c r="F76" t="s">
        <v>386</v>
      </c>
      <c r="G76" t="s">
        <v>489</v>
      </c>
      <c r="H76" t="s">
        <v>490</v>
      </c>
    </row>
    <row r="77" spans="1:13" ht="14.25" customHeight="1" x14ac:dyDescent="0.25">
      <c r="D77" s="32">
        <v>2</v>
      </c>
      <c r="E77" s="32">
        <v>3</v>
      </c>
      <c r="F77" s="32">
        <v>3</v>
      </c>
      <c r="G77" s="32">
        <v>2</v>
      </c>
      <c r="H77" s="32">
        <v>3</v>
      </c>
      <c r="I77" s="33"/>
      <c r="J77" s="33"/>
      <c r="K77" s="33"/>
      <c r="L77">
        <f>MIN(D77:K77)</f>
        <v>2</v>
      </c>
      <c r="M77">
        <f>MAX(D77:K77)</f>
        <v>3</v>
      </c>
    </row>
    <row r="78" spans="1:13" ht="14.25" customHeight="1" x14ac:dyDescent="0.25">
      <c r="A78">
        <v>60</v>
      </c>
      <c r="B78">
        <v>65</v>
      </c>
      <c r="C78" t="str">
        <f>IFERROR(HLOOKUP(VLOOKUP($C$2,Respuestas!$A$2:$HO$11,VALUE(B78)),D78:K79,2,0),"")</f>
        <v/>
      </c>
      <c r="D78" t="s">
        <v>387</v>
      </c>
      <c r="E78" t="s">
        <v>491</v>
      </c>
      <c r="F78" t="s">
        <v>441</v>
      </c>
    </row>
    <row r="79" spans="1:13" ht="14.25" customHeight="1" x14ac:dyDescent="0.25">
      <c r="D79" s="32">
        <v>1</v>
      </c>
      <c r="E79" s="32">
        <v>2</v>
      </c>
      <c r="F79" s="32">
        <v>3</v>
      </c>
      <c r="G79" s="33"/>
      <c r="H79" s="33"/>
      <c r="I79" s="33"/>
      <c r="J79" s="33"/>
      <c r="K79" s="33"/>
      <c r="L79">
        <f>MIN(D79:K79)</f>
        <v>1</v>
      </c>
      <c r="M79">
        <f>MAX(D79:K79)</f>
        <v>3</v>
      </c>
    </row>
    <row r="80" spans="1:13" ht="14.25" customHeight="1" x14ac:dyDescent="0.25">
      <c r="A80">
        <v>61</v>
      </c>
      <c r="B80">
        <v>66</v>
      </c>
      <c r="C80" t="str">
        <f>IFERROR(HLOOKUP(VLOOKUP($C$2,Respuestas!$A$2:$HO$11,VALUE(B80)),D80:K81,2,0),"")</f>
        <v/>
      </c>
      <c r="D80" t="s">
        <v>388</v>
      </c>
      <c r="E80" t="s">
        <v>492</v>
      </c>
      <c r="F80" t="s">
        <v>493</v>
      </c>
    </row>
    <row r="81" spans="1:13" ht="14.25" customHeight="1" x14ac:dyDescent="0.25">
      <c r="D81" s="32">
        <v>3</v>
      </c>
      <c r="E81" s="32">
        <v>2</v>
      </c>
      <c r="F81" s="32">
        <v>1</v>
      </c>
      <c r="G81" s="33"/>
      <c r="H81" s="33"/>
      <c r="I81" s="33"/>
      <c r="J81" s="33"/>
      <c r="K81" s="33"/>
      <c r="L81">
        <f>MIN(D81:K81)</f>
        <v>1</v>
      </c>
      <c r="M81">
        <f>MAX(D81:K81)</f>
        <v>3</v>
      </c>
    </row>
    <row r="82" spans="1:13" ht="14.25" customHeight="1" x14ac:dyDescent="0.25">
      <c r="A82">
        <v>62</v>
      </c>
      <c r="B82">
        <v>67</v>
      </c>
      <c r="C82" t="str">
        <f>IFERROR(HLOOKUP(VLOOKUP($C$2,Respuestas!$A$2:$HO$11,VALUE(B82)),D82:K83,2,0),"")</f>
        <v/>
      </c>
      <c r="D82" t="s">
        <v>244</v>
      </c>
      <c r="E82" t="s">
        <v>256</v>
      </c>
    </row>
    <row r="83" spans="1:13" ht="14.25" customHeight="1" x14ac:dyDescent="0.25">
      <c r="D83" s="32">
        <v>2</v>
      </c>
      <c r="E83" s="32">
        <v>0</v>
      </c>
      <c r="F83" s="33"/>
      <c r="G83" s="33"/>
      <c r="H83" s="33"/>
      <c r="I83" s="33"/>
      <c r="J83" s="33"/>
      <c r="K83" s="33"/>
      <c r="L83">
        <f>MIN(D83:K83)</f>
        <v>0</v>
      </c>
      <c r="M83">
        <f>MAX(D83:K83)</f>
        <v>2</v>
      </c>
    </row>
    <row r="84" spans="1:13" ht="14.25" customHeight="1" x14ac:dyDescent="0.25">
      <c r="A84">
        <v>63</v>
      </c>
      <c r="B84">
        <v>68</v>
      </c>
      <c r="C84" t="str">
        <f>IFERROR(HLOOKUP(VLOOKUP($C$2,Respuestas!$A$2:$HO$11,VALUE(B84)),D84:K85,2,0),"")</f>
        <v/>
      </c>
      <c r="D84" t="s">
        <v>389</v>
      </c>
      <c r="E84" t="s">
        <v>494</v>
      </c>
      <c r="F84" t="s">
        <v>256</v>
      </c>
    </row>
    <row r="85" spans="1:13" ht="14.25" customHeight="1" x14ac:dyDescent="0.25">
      <c r="D85" s="32">
        <v>3</v>
      </c>
      <c r="E85" s="32">
        <v>2</v>
      </c>
      <c r="F85" s="32">
        <v>1</v>
      </c>
      <c r="G85" s="33"/>
      <c r="H85" s="33"/>
      <c r="I85" s="33"/>
      <c r="J85" s="33"/>
      <c r="K85" s="33"/>
      <c r="L85">
        <f>MIN(D85:K85)</f>
        <v>1</v>
      </c>
      <c r="M85">
        <f>MAX(D85:K85)</f>
        <v>3</v>
      </c>
    </row>
    <row r="86" spans="1:13" ht="14.25" customHeight="1" x14ac:dyDescent="0.25">
      <c r="A86">
        <v>64</v>
      </c>
      <c r="B86">
        <v>69</v>
      </c>
      <c r="C86" t="str">
        <f>IFERROR(HLOOKUP(VLOOKUP($C$2,Respuestas!$A$2:$HO$11,VALUE(B86)),D86:K87,2,0),"")</f>
        <v/>
      </c>
      <c r="D86" t="s">
        <v>244</v>
      </c>
      <c r="E86" t="s">
        <v>256</v>
      </c>
    </row>
    <row r="87" spans="1:13" ht="14.25" customHeight="1" x14ac:dyDescent="0.25">
      <c r="D87" s="32">
        <v>2</v>
      </c>
      <c r="E87" s="32">
        <v>0</v>
      </c>
      <c r="F87" s="33"/>
      <c r="G87" s="33"/>
      <c r="H87" s="33"/>
      <c r="I87" s="33"/>
      <c r="J87" s="33"/>
      <c r="K87" s="33"/>
      <c r="L87">
        <f>MIN(D87:K87)</f>
        <v>0</v>
      </c>
      <c r="M87">
        <f>MAX(D87:K87)</f>
        <v>2</v>
      </c>
    </row>
    <row r="88" spans="1:13" ht="14.25" customHeight="1" x14ac:dyDescent="0.25">
      <c r="A88">
        <v>65</v>
      </c>
      <c r="B88">
        <v>70</v>
      </c>
      <c r="C88" t="str">
        <f>IFERROR(HLOOKUP(VLOOKUP($C$2,Respuestas!$A$2:$HO$11,VALUE(B88)),D88:K89,2,0),"")</f>
        <v/>
      </c>
      <c r="D88" t="s">
        <v>244</v>
      </c>
      <c r="E88" t="s">
        <v>256</v>
      </c>
    </row>
    <row r="89" spans="1:13" ht="14.25" customHeight="1" x14ac:dyDescent="0.25">
      <c r="D89" s="32">
        <v>2</v>
      </c>
      <c r="E89" s="32">
        <v>0</v>
      </c>
      <c r="F89" s="33"/>
      <c r="G89" s="33"/>
      <c r="H89" s="33"/>
      <c r="I89" s="33"/>
      <c r="J89" s="33"/>
      <c r="K89" s="33"/>
      <c r="L89">
        <f>MIN(D89:K89)</f>
        <v>0</v>
      </c>
      <c r="M89">
        <f>MAX(D89:K89)</f>
        <v>2</v>
      </c>
    </row>
    <row r="90" spans="1:13" ht="14.25" customHeight="1" x14ac:dyDescent="0.25">
      <c r="A90">
        <v>66</v>
      </c>
      <c r="B90">
        <v>71</v>
      </c>
      <c r="C90">
        <f>IFERROR(HLOOKUP(VLOOKUP($C$2,Respuestas!$A$2:$HO$11,VALUE(B90)),D90:K91,2,0),"")</f>
        <v>3</v>
      </c>
      <c r="D90" t="s">
        <v>357</v>
      </c>
      <c r="E90" t="s">
        <v>257</v>
      </c>
      <c r="F90" t="s">
        <v>495</v>
      </c>
    </row>
    <row r="91" spans="1:13" ht="14.25" customHeight="1" x14ac:dyDescent="0.25">
      <c r="D91" s="32">
        <v>3</v>
      </c>
      <c r="E91" s="32">
        <v>2</v>
      </c>
      <c r="F91" s="32">
        <v>1</v>
      </c>
      <c r="G91" s="33"/>
      <c r="H91" s="33"/>
      <c r="I91" s="33"/>
      <c r="J91" s="33"/>
      <c r="K91" s="33"/>
      <c r="L91">
        <f>MIN(D91:K91)</f>
        <v>1</v>
      </c>
      <c r="M91">
        <f>MAX(D91:K91)</f>
        <v>3</v>
      </c>
    </row>
    <row r="92" spans="1:13" ht="14.25" customHeight="1" x14ac:dyDescent="0.25">
      <c r="A92">
        <v>67</v>
      </c>
      <c r="B92">
        <v>72</v>
      </c>
      <c r="C92">
        <f>IFERROR(HLOOKUP(VLOOKUP($C$2,Respuestas!$A$2:$HO$11,VALUE(B92)),D92:K93,2,0),"")</f>
        <v>3</v>
      </c>
      <c r="D92" t="s">
        <v>306</v>
      </c>
      <c r="E92" t="s">
        <v>258</v>
      </c>
      <c r="F92" t="s">
        <v>339</v>
      </c>
    </row>
    <row r="93" spans="1:13" ht="14.25" customHeight="1" x14ac:dyDescent="0.25">
      <c r="D93" s="32">
        <v>3</v>
      </c>
      <c r="E93" s="32">
        <v>2</v>
      </c>
      <c r="F93" s="32">
        <v>1</v>
      </c>
      <c r="G93" s="33"/>
      <c r="H93" s="33"/>
      <c r="I93" s="33"/>
      <c r="J93" s="33"/>
      <c r="K93" s="33"/>
      <c r="L93">
        <f>MIN(D93:K93)</f>
        <v>1</v>
      </c>
      <c r="M93">
        <f>MAX(D93:K93)</f>
        <v>3</v>
      </c>
    </row>
    <row r="94" spans="1:13" ht="14.25" customHeight="1" x14ac:dyDescent="0.25">
      <c r="A94">
        <v>68</v>
      </c>
      <c r="B94">
        <v>73</v>
      </c>
      <c r="C94">
        <f>IFERROR(HLOOKUP(VLOOKUP($C$2,Respuestas!$A$2:$HO$11,VALUE(B94)),D94:K95,2,0),"")</f>
        <v>2</v>
      </c>
      <c r="D94" t="s">
        <v>390</v>
      </c>
      <c r="E94" t="s">
        <v>496</v>
      </c>
      <c r="F94" t="s">
        <v>307</v>
      </c>
      <c r="G94" t="s">
        <v>358</v>
      </c>
      <c r="H94" t="s">
        <v>259</v>
      </c>
    </row>
    <row r="95" spans="1:13" ht="14.25" customHeight="1" x14ac:dyDescent="0.25">
      <c r="D95" s="32">
        <v>3</v>
      </c>
      <c r="E95" s="32">
        <v>2</v>
      </c>
      <c r="F95" s="32">
        <v>3</v>
      </c>
      <c r="G95" s="32">
        <v>2</v>
      </c>
      <c r="H95" s="32">
        <v>1</v>
      </c>
      <c r="I95" s="33"/>
      <c r="J95" s="33"/>
      <c r="K95" s="33"/>
      <c r="L95">
        <f>MIN(D95:K95)</f>
        <v>1</v>
      </c>
      <c r="M95">
        <f>MAX(D95:K95)</f>
        <v>3</v>
      </c>
    </row>
    <row r="96" spans="1:13" ht="14.25" customHeight="1" x14ac:dyDescent="0.25">
      <c r="A96">
        <v>69</v>
      </c>
      <c r="B96">
        <v>74</v>
      </c>
      <c r="C96">
        <f>IFERROR(HLOOKUP(VLOOKUP($C$2,Respuestas!$A$2:$HO$11,VALUE(B96)),D96:K97,2,0),"")</f>
        <v>3</v>
      </c>
      <c r="D96" t="s">
        <v>340</v>
      </c>
      <c r="E96" t="s">
        <v>246</v>
      </c>
      <c r="F96" t="s">
        <v>497</v>
      </c>
    </row>
    <row r="97" spans="1:13" ht="14.25" customHeight="1" x14ac:dyDescent="0.25">
      <c r="D97" s="32">
        <v>3</v>
      </c>
      <c r="E97" s="32">
        <v>2</v>
      </c>
      <c r="F97" s="32">
        <v>1</v>
      </c>
      <c r="G97" s="33"/>
      <c r="H97" s="33"/>
      <c r="I97" s="33"/>
      <c r="J97" s="33"/>
      <c r="K97" s="33"/>
      <c r="L97">
        <f>MIN(D97:K97)</f>
        <v>1</v>
      </c>
      <c r="M97">
        <f>MAX(D97:K97)</f>
        <v>3</v>
      </c>
    </row>
    <row r="98" spans="1:13" ht="14.25" customHeight="1" x14ac:dyDescent="0.25">
      <c r="A98">
        <v>70</v>
      </c>
      <c r="B98">
        <v>75</v>
      </c>
      <c r="C98">
        <f>IFERROR(HLOOKUP(VLOOKUP($C$2,Respuestas!$A$2:$HO$11,VALUE(B98)),D98:K99,2,0),"")</f>
        <v>2</v>
      </c>
      <c r="D98" t="s">
        <v>498</v>
      </c>
      <c r="E98" t="s">
        <v>260</v>
      </c>
      <c r="F98" t="s">
        <v>341</v>
      </c>
      <c r="G98" t="s">
        <v>308</v>
      </c>
    </row>
    <row r="99" spans="1:13" ht="14.25" customHeight="1" x14ac:dyDescent="0.25">
      <c r="D99" s="32">
        <v>0</v>
      </c>
      <c r="E99" s="32">
        <v>2</v>
      </c>
      <c r="F99" s="32">
        <v>3</v>
      </c>
      <c r="G99" s="32">
        <v>3</v>
      </c>
      <c r="H99" s="33"/>
      <c r="I99" s="33"/>
      <c r="J99" s="33"/>
      <c r="K99" s="33"/>
      <c r="L99">
        <f>MIN(D99:K99)</f>
        <v>0</v>
      </c>
      <c r="M99">
        <f>MAX(D99:K99)</f>
        <v>3</v>
      </c>
    </row>
    <row r="100" spans="1:13" ht="14.25" customHeight="1" x14ac:dyDescent="0.25">
      <c r="A100">
        <v>71</v>
      </c>
      <c r="B100">
        <v>76</v>
      </c>
      <c r="C100">
        <f>IFERROR(HLOOKUP(VLOOKUP($C$2,Respuestas!$A$2:$HO$11,VALUE(B100)),D100:K101,2,0),"")</f>
        <v>0</v>
      </c>
      <c r="D100" t="s">
        <v>244</v>
      </c>
      <c r="E100" t="s">
        <v>256</v>
      </c>
    </row>
    <row r="101" spans="1:13" ht="14.25" customHeight="1" x14ac:dyDescent="0.25">
      <c r="D101" s="32">
        <v>0</v>
      </c>
      <c r="E101" s="32">
        <v>1</v>
      </c>
      <c r="F101" s="33"/>
      <c r="G101" s="33"/>
      <c r="H101" s="33"/>
      <c r="I101" s="33"/>
      <c r="J101" s="33"/>
      <c r="K101" s="33"/>
      <c r="L101">
        <f>MIN(D101:K101)</f>
        <v>0</v>
      </c>
      <c r="M101">
        <f>MAX(D101:K101)</f>
        <v>1</v>
      </c>
    </row>
    <row r="102" spans="1:13" ht="14.25" customHeight="1" x14ac:dyDescent="0.25">
      <c r="A102">
        <v>72</v>
      </c>
      <c r="B102">
        <v>77</v>
      </c>
      <c r="C102">
        <f>IFERROR(HLOOKUP(VLOOKUP($C$2,Respuestas!$A$2:$HO$11,VALUE(B102)),D102:K103,2,0),"")</f>
        <v>1</v>
      </c>
      <c r="D102" t="s">
        <v>309</v>
      </c>
      <c r="E102" t="s">
        <v>277</v>
      </c>
      <c r="F102" t="s">
        <v>255</v>
      </c>
    </row>
    <row r="103" spans="1:13" ht="14.25" customHeight="1" x14ac:dyDescent="0.25">
      <c r="D103" s="32">
        <v>1</v>
      </c>
      <c r="E103" s="32">
        <v>2</v>
      </c>
      <c r="F103" s="32">
        <v>0</v>
      </c>
      <c r="G103" s="33"/>
      <c r="H103" s="33"/>
      <c r="I103" s="33"/>
      <c r="J103" s="33"/>
      <c r="K103" s="33"/>
      <c r="L103">
        <f>MIN(D103:K103)</f>
        <v>0</v>
      </c>
      <c r="M103">
        <f>MAX(D103:K103)</f>
        <v>2</v>
      </c>
    </row>
    <row r="104" spans="1:13" ht="14.25" customHeight="1" x14ac:dyDescent="0.25">
      <c r="A104">
        <v>73</v>
      </c>
      <c r="B104">
        <v>78</v>
      </c>
      <c r="C104">
        <f>IFERROR(HLOOKUP(VLOOKUP($C$2,Respuestas!$A$2:$HO$11,VALUE(B104)),D104:K105,2,0),"")</f>
        <v>2</v>
      </c>
      <c r="D104" t="s">
        <v>342</v>
      </c>
      <c r="E104" t="s">
        <v>338</v>
      </c>
      <c r="F104" t="s">
        <v>255</v>
      </c>
    </row>
    <row r="105" spans="1:13" ht="14.25" customHeight="1" x14ac:dyDescent="0.25">
      <c r="D105" s="32">
        <v>1</v>
      </c>
      <c r="E105" s="32">
        <v>2</v>
      </c>
      <c r="F105" s="32">
        <v>3</v>
      </c>
      <c r="G105" s="33"/>
      <c r="H105" s="33"/>
      <c r="I105" s="33"/>
      <c r="J105" s="33"/>
      <c r="K105" s="33"/>
      <c r="L105">
        <f>MIN(D105:K105)</f>
        <v>1</v>
      </c>
      <c r="M105">
        <f>MAX(D105:K105)</f>
        <v>3</v>
      </c>
    </row>
    <row r="106" spans="1:13" ht="14.25" customHeight="1" x14ac:dyDescent="0.25">
      <c r="A106">
        <v>74</v>
      </c>
      <c r="B106">
        <v>79</v>
      </c>
      <c r="C106">
        <f>IFERROR(HLOOKUP(VLOOKUP($C$2,Respuestas!$A$2:$HO$11,VALUE(B106)),D106:K107,2,0),"")</f>
        <v>0</v>
      </c>
      <c r="D106" t="s">
        <v>499</v>
      </c>
      <c r="E106" t="s">
        <v>500</v>
      </c>
      <c r="F106" t="s">
        <v>501</v>
      </c>
    </row>
    <row r="107" spans="1:13" ht="14.25" customHeight="1" x14ac:dyDescent="0.25">
      <c r="D107" s="32">
        <v>0</v>
      </c>
      <c r="E107" s="32">
        <v>1</v>
      </c>
      <c r="F107" s="32">
        <v>2</v>
      </c>
      <c r="G107" s="33"/>
      <c r="H107" s="33"/>
      <c r="I107" s="33"/>
      <c r="J107" s="33"/>
      <c r="K107" s="33"/>
      <c r="L107">
        <f>MIN(D107:K107)</f>
        <v>0</v>
      </c>
      <c r="M107">
        <f>MAX(D107:K107)</f>
        <v>2</v>
      </c>
    </row>
    <row r="108" spans="1:13" ht="14.25" customHeight="1" x14ac:dyDescent="0.25">
      <c r="A108">
        <v>74</v>
      </c>
      <c r="B108">
        <v>80</v>
      </c>
      <c r="C108">
        <f>IFERROR(HLOOKUP(VLOOKUP($C$2,Respuestas!$A$2:$HO$11,VALUE(B108)),D108:K109,2,0),"")</f>
        <v>0</v>
      </c>
      <c r="D108" t="s">
        <v>499</v>
      </c>
      <c r="E108" t="s">
        <v>500</v>
      </c>
      <c r="F108" t="s">
        <v>501</v>
      </c>
    </row>
    <row r="109" spans="1:13" ht="14.25" customHeight="1" x14ac:dyDescent="0.25">
      <c r="D109" s="32">
        <v>0</v>
      </c>
      <c r="E109" s="32">
        <v>1</v>
      </c>
      <c r="F109" s="32">
        <v>2</v>
      </c>
      <c r="G109" s="33"/>
      <c r="H109" s="33"/>
      <c r="I109" s="33"/>
      <c r="J109" s="33"/>
      <c r="K109" s="33"/>
      <c r="L109">
        <f>MIN(D109:K109)</f>
        <v>0</v>
      </c>
      <c r="M109">
        <f>MAX(D109:K109)</f>
        <v>2</v>
      </c>
    </row>
    <row r="110" spans="1:13" ht="14.25" customHeight="1" x14ac:dyDescent="0.25">
      <c r="A110">
        <v>74</v>
      </c>
      <c r="B110">
        <v>81</v>
      </c>
      <c r="C110">
        <f>IFERROR(HLOOKUP(VLOOKUP($C$2,Respuestas!$A$2:$HO$11,VALUE(B110)),D110:K111,2,0),"")</f>
        <v>0</v>
      </c>
      <c r="D110" t="s">
        <v>499</v>
      </c>
      <c r="E110" t="s">
        <v>500</v>
      </c>
      <c r="F110" t="s">
        <v>501</v>
      </c>
    </row>
    <row r="111" spans="1:13" ht="14.25" customHeight="1" x14ac:dyDescent="0.25">
      <c r="D111" s="32">
        <v>0</v>
      </c>
      <c r="E111" s="32">
        <v>1</v>
      </c>
      <c r="F111" s="32">
        <v>2</v>
      </c>
      <c r="G111" s="33"/>
      <c r="H111" s="33"/>
      <c r="I111" s="33"/>
      <c r="J111" s="33"/>
      <c r="K111" s="33"/>
      <c r="L111">
        <f>MIN(D111:K111)</f>
        <v>0</v>
      </c>
      <c r="M111">
        <f>MAX(D111:K111)</f>
        <v>2</v>
      </c>
    </row>
    <row r="112" spans="1:13" ht="14.25" customHeight="1" x14ac:dyDescent="0.25">
      <c r="A112">
        <v>75</v>
      </c>
      <c r="B112">
        <v>82</v>
      </c>
      <c r="C112">
        <f>IFERROR(HLOOKUP(VLOOKUP($C$2,Respuestas!$A$2:$HO$11,VALUE(B112)),D112:K113,2,0),"")</f>
        <v>0</v>
      </c>
      <c r="D112" t="s">
        <v>244</v>
      </c>
      <c r="E112" t="s">
        <v>256</v>
      </c>
    </row>
    <row r="113" spans="1:13" ht="14.25" customHeight="1" x14ac:dyDescent="0.25">
      <c r="D113" s="32">
        <v>1</v>
      </c>
      <c r="E113" s="32">
        <v>0</v>
      </c>
      <c r="F113" s="33"/>
      <c r="G113" s="33"/>
      <c r="H113" s="33"/>
      <c r="I113" s="33"/>
      <c r="J113" s="33"/>
      <c r="K113" s="33"/>
      <c r="L113">
        <f>MIN(D113:K113)</f>
        <v>0</v>
      </c>
      <c r="M113">
        <f>MAX(D113:K113)</f>
        <v>1</v>
      </c>
    </row>
    <row r="114" spans="1:13" ht="14.25" customHeight="1" x14ac:dyDescent="0.25">
      <c r="A114">
        <v>76</v>
      </c>
      <c r="B114">
        <v>83</v>
      </c>
      <c r="C114" t="str">
        <f>IF(VLOOKUP($C$2,Respuestas!$A$2:$HO$11,VALUE(B114),0)=0, " ", VLOOKUP($C$2,Respuestas!$A$2:$HO$11,VALUE(B114),0))</f>
        <v>No hay obstáculos que dificulten la comuniación</v>
      </c>
    </row>
    <row r="115" spans="1:13" ht="14.25" customHeight="1" x14ac:dyDescent="0.25">
      <c r="C115">
        <f>IF(C114=D114,D115,(LEN(C114)-LEN(SUBSTITUTE(C114,",", ""))+1))</f>
        <v>1</v>
      </c>
      <c r="D115" s="33"/>
      <c r="E115" s="33"/>
      <c r="F115" s="33"/>
      <c r="G115" s="33"/>
      <c r="H115" s="33"/>
      <c r="I115" s="33"/>
      <c r="J115" s="33"/>
      <c r="K115" s="33"/>
      <c r="L115">
        <f>MIN(D115:K115)</f>
        <v>0</v>
      </c>
      <c r="M115">
        <f>MAX(D115:K115)</f>
        <v>0</v>
      </c>
    </row>
    <row r="116" spans="1:13" ht="14.25" customHeight="1" x14ac:dyDescent="0.25">
      <c r="A116">
        <v>77</v>
      </c>
      <c r="B116">
        <v>84</v>
      </c>
      <c r="C116">
        <f>IFERROR(HLOOKUP(VLOOKUP($C$2,Respuestas!$A$2:$HO$11,VALUE(B116)),D116:K117,2,0),"")</f>
        <v>0</v>
      </c>
      <c r="D116" t="s">
        <v>244</v>
      </c>
      <c r="E116" t="s">
        <v>256</v>
      </c>
    </row>
    <row r="117" spans="1:13" ht="14.25" customHeight="1" x14ac:dyDescent="0.25">
      <c r="D117" s="32">
        <v>0</v>
      </c>
      <c r="E117" s="32">
        <v>1</v>
      </c>
      <c r="F117" s="33"/>
      <c r="G117" s="33"/>
      <c r="H117" s="33"/>
      <c r="I117" s="33"/>
      <c r="J117" s="33"/>
      <c r="K117" s="33"/>
      <c r="L117">
        <f>MIN(D117:K117)</f>
        <v>0</v>
      </c>
      <c r="M117">
        <f>MAX(D117:K117)</f>
        <v>1</v>
      </c>
    </row>
    <row r="118" spans="1:13" ht="14.25" customHeight="1" x14ac:dyDescent="0.25">
      <c r="A118">
        <v>78</v>
      </c>
      <c r="B118">
        <v>85</v>
      </c>
      <c r="C118">
        <f>IFERROR(HLOOKUP(VLOOKUP($C$2,Respuestas!$A$2:$HO$11,VALUE(B118)),D118:K119,2,0),"")</f>
        <v>3</v>
      </c>
      <c r="D118">
        <v>1</v>
      </c>
      <c r="E118">
        <v>2</v>
      </c>
      <c r="F118">
        <v>3</v>
      </c>
      <c r="G118">
        <v>4</v>
      </c>
    </row>
    <row r="119" spans="1:13" ht="14.25" customHeight="1" x14ac:dyDescent="0.25">
      <c r="D119" s="32">
        <v>3</v>
      </c>
      <c r="E119" s="32">
        <v>2</v>
      </c>
      <c r="F119" s="32">
        <v>1</v>
      </c>
      <c r="G119" s="32">
        <v>0</v>
      </c>
      <c r="H119" s="33"/>
      <c r="I119" s="33"/>
      <c r="J119" s="33"/>
      <c r="K119" s="33"/>
      <c r="L119">
        <f>MIN(D119:K119)</f>
        <v>0</v>
      </c>
      <c r="M119">
        <f>MAX(D119:K119)</f>
        <v>3</v>
      </c>
    </row>
    <row r="120" spans="1:13" ht="14.25" customHeight="1" x14ac:dyDescent="0.25">
      <c r="A120">
        <v>79</v>
      </c>
      <c r="B120">
        <v>86</v>
      </c>
      <c r="C120">
        <f>IFERROR(HLOOKUP(VLOOKUP($C$2,Respuestas!$A$2:$HO$11,VALUE(B120)),D120:K121,2,0),"")</f>
        <v>0</v>
      </c>
      <c r="D120" t="s">
        <v>244</v>
      </c>
      <c r="E120" t="s">
        <v>256</v>
      </c>
    </row>
    <row r="121" spans="1:13" ht="14.25" customHeight="1" x14ac:dyDescent="0.25">
      <c r="D121" s="32">
        <v>0</v>
      </c>
      <c r="E121" s="32">
        <v>1</v>
      </c>
      <c r="F121" s="33"/>
      <c r="G121" s="33"/>
      <c r="H121" s="33"/>
      <c r="I121" s="33"/>
      <c r="J121" s="33"/>
      <c r="K121" s="33"/>
      <c r="L121">
        <f>MIN(D121:K121)</f>
        <v>0</v>
      </c>
      <c r="M121">
        <f>MAX(D121:K121)</f>
        <v>1</v>
      </c>
    </row>
    <row r="122" spans="1:13" ht="14.25" customHeight="1" x14ac:dyDescent="0.25">
      <c r="A122">
        <v>80</v>
      </c>
      <c r="B122">
        <v>87</v>
      </c>
      <c r="C122">
        <f>IFERROR(HLOOKUP(VLOOKUP($C$2,Respuestas!$A$2:$HO$11,VALUE(B122)),D122:K123,2,0),"")</f>
        <v>0</v>
      </c>
      <c r="D122" t="s">
        <v>244</v>
      </c>
      <c r="E122" t="s">
        <v>256</v>
      </c>
    </row>
    <row r="123" spans="1:13" ht="14.25" customHeight="1" x14ac:dyDescent="0.25">
      <c r="D123" s="32">
        <v>0</v>
      </c>
      <c r="E123" s="32">
        <v>1</v>
      </c>
      <c r="F123" s="33"/>
      <c r="G123" s="33"/>
      <c r="H123" s="33"/>
      <c r="I123" s="33"/>
      <c r="J123" s="33"/>
      <c r="K123" s="33"/>
      <c r="L123">
        <f>MIN(D123:K123)</f>
        <v>0</v>
      </c>
      <c r="M123">
        <f>MAX(D123:K123)</f>
        <v>1</v>
      </c>
    </row>
    <row r="124" spans="1:13" ht="14.25" customHeight="1" x14ac:dyDescent="0.25">
      <c r="A124">
        <v>81</v>
      </c>
      <c r="B124">
        <v>88</v>
      </c>
      <c r="C124">
        <f>IFERROR(HLOOKUP(VLOOKUP($C$2,Respuestas!$A$2:$HO$11,VALUE(B124)),D124:K125,2,0),"")</f>
        <v>0</v>
      </c>
      <c r="D124" t="s">
        <v>312</v>
      </c>
      <c r="E124" t="s">
        <v>263</v>
      </c>
    </row>
    <row r="125" spans="1:13" ht="14.25" customHeight="1" x14ac:dyDescent="0.25">
      <c r="D125" s="32">
        <v>1</v>
      </c>
      <c r="E125" s="32">
        <v>0</v>
      </c>
      <c r="F125" s="33"/>
      <c r="G125" s="33"/>
      <c r="H125" s="33"/>
      <c r="I125" s="33"/>
      <c r="J125" s="33"/>
      <c r="K125" s="33"/>
      <c r="L125">
        <f>MIN(D125:K125)</f>
        <v>0</v>
      </c>
      <c r="M125">
        <f>MAX(D125:K125)</f>
        <v>1</v>
      </c>
    </row>
    <row r="126" spans="1:13" ht="14.25" customHeight="1" x14ac:dyDescent="0.25">
      <c r="A126">
        <v>82</v>
      </c>
      <c r="B126">
        <v>89</v>
      </c>
      <c r="C126" t="str">
        <f>IFERROR(HLOOKUP(VLOOKUP($C$2,Respuestas!$A$2:$HO$11,VALUE(B126)),D126:K127,2,0),"")</f>
        <v/>
      </c>
      <c r="D126" t="s">
        <v>502</v>
      </c>
      <c r="E126" t="s">
        <v>313</v>
      </c>
      <c r="F126" t="s">
        <v>264</v>
      </c>
    </row>
    <row r="127" spans="1:13" ht="14.25" customHeight="1" x14ac:dyDescent="0.25">
      <c r="D127" s="32">
        <v>1</v>
      </c>
      <c r="E127" s="32">
        <v>2</v>
      </c>
      <c r="F127" s="32">
        <v>3</v>
      </c>
      <c r="G127" s="33"/>
      <c r="H127" s="33"/>
      <c r="I127" s="33"/>
      <c r="J127" s="33"/>
      <c r="K127" s="33"/>
      <c r="L127">
        <f>MIN(D127:K127)</f>
        <v>1</v>
      </c>
      <c r="M127">
        <f>MAX(D127:K127)</f>
        <v>3</v>
      </c>
    </row>
    <row r="128" spans="1:13" ht="14.25" customHeight="1" x14ac:dyDescent="0.25">
      <c r="A128">
        <v>83</v>
      </c>
      <c r="B128">
        <v>90</v>
      </c>
      <c r="C128">
        <f>IFERROR(HLOOKUP(VLOOKUP($C$2,Respuestas!$A$2:$HO$11,VALUE(B128)),D128:K129,2,0),"")</f>
        <v>0</v>
      </c>
      <c r="D128" t="s">
        <v>265</v>
      </c>
      <c r="E128" t="s">
        <v>503</v>
      </c>
      <c r="F128" t="s">
        <v>393</v>
      </c>
      <c r="G128" t="s">
        <v>504</v>
      </c>
      <c r="H128" t="s">
        <v>505</v>
      </c>
    </row>
    <row r="129" spans="1:13" ht="14.25" customHeight="1" x14ac:dyDescent="0.25">
      <c r="D129" s="32">
        <v>0</v>
      </c>
      <c r="E129" s="32">
        <v>1</v>
      </c>
      <c r="F129" s="32">
        <v>3</v>
      </c>
      <c r="G129" s="32">
        <v>3</v>
      </c>
      <c r="H129" s="32">
        <v>1</v>
      </c>
      <c r="I129" s="33"/>
      <c r="J129" s="33"/>
      <c r="K129" s="33"/>
      <c r="L129">
        <f>MIN(D129:K129)</f>
        <v>0</v>
      </c>
      <c r="M129">
        <f>MAX(D129:K129)</f>
        <v>3</v>
      </c>
    </row>
    <row r="130" spans="1:13" ht="14.25" customHeight="1" x14ac:dyDescent="0.25">
      <c r="A130">
        <v>84</v>
      </c>
      <c r="B130">
        <v>91</v>
      </c>
      <c r="C130">
        <f>IFERROR(HLOOKUP(VLOOKUP($C$2,Respuestas!$A$2:$HO$11,VALUE(B130)),D130:K131,2,0),"")</f>
        <v>2</v>
      </c>
      <c r="D130" t="s">
        <v>314</v>
      </c>
      <c r="E130" t="s">
        <v>266</v>
      </c>
      <c r="F130" t="s">
        <v>272</v>
      </c>
    </row>
    <row r="131" spans="1:13" ht="14.25" customHeight="1" x14ac:dyDescent="0.25">
      <c r="D131" s="32">
        <v>2</v>
      </c>
      <c r="E131" s="32">
        <v>1</v>
      </c>
      <c r="F131" s="32">
        <v>0</v>
      </c>
      <c r="G131" s="33"/>
      <c r="H131" s="33"/>
      <c r="I131" s="33"/>
      <c r="J131" s="33"/>
      <c r="K131" s="33"/>
      <c r="L131">
        <f>MIN(D131:K131)</f>
        <v>0</v>
      </c>
      <c r="M131">
        <f>MAX(D131:K131)</f>
        <v>2</v>
      </c>
    </row>
    <row r="132" spans="1:13" ht="14.25" customHeight="1" x14ac:dyDescent="0.25">
      <c r="A132">
        <v>99</v>
      </c>
      <c r="B132">
        <v>106</v>
      </c>
      <c r="C132">
        <f>IFERROR(HLOOKUP(VLOOKUP($C$2,Respuestas!$A$2:$HO$11,VALUE(B132)),D132:K133,2,0),"")</f>
        <v>1</v>
      </c>
      <c r="D132" t="s">
        <v>268</v>
      </c>
      <c r="E132" t="s">
        <v>256</v>
      </c>
    </row>
    <row r="133" spans="1:13" ht="14.25" customHeight="1" x14ac:dyDescent="0.25">
      <c r="D133" s="32">
        <v>0</v>
      </c>
      <c r="E133" s="32">
        <v>1</v>
      </c>
      <c r="F133" s="33"/>
      <c r="G133" s="33"/>
      <c r="H133" s="33"/>
      <c r="I133" s="33"/>
      <c r="J133" s="33"/>
      <c r="K133" s="33"/>
      <c r="L133">
        <f>MIN(D133:K133)</f>
        <v>0</v>
      </c>
      <c r="M133">
        <f>MAX(D133:K133)</f>
        <v>1</v>
      </c>
    </row>
    <row r="134" spans="1:13" ht="14.25" customHeight="1" x14ac:dyDescent="0.25">
      <c r="A134">
        <v>100</v>
      </c>
      <c r="B134">
        <v>107</v>
      </c>
      <c r="C134" t="str">
        <f>IF(VLOOKUP($C$2,Respuestas!$A$2:$HO$11,VALUE(B134),0)=0, " ", VLOOKUP($C$2,Respuestas!$A$2:$HO$11,VALUE(B134),0))</f>
        <v>NO</v>
      </c>
      <c r="D134" t="s">
        <v>268</v>
      </c>
      <c r="E134" t="s">
        <v>256</v>
      </c>
    </row>
    <row r="135" spans="1:13" ht="14.25" customHeight="1" x14ac:dyDescent="0.25">
      <c r="D135" s="32"/>
      <c r="E135" s="32"/>
      <c r="F135" s="33"/>
      <c r="G135" s="33"/>
      <c r="H135" s="33"/>
      <c r="I135" s="33"/>
      <c r="J135" s="33"/>
      <c r="K135" s="33"/>
      <c r="L135">
        <f>MIN(D135:K135)</f>
        <v>0</v>
      </c>
      <c r="M135">
        <f>MAX(D135:K135)</f>
        <v>0</v>
      </c>
    </row>
    <row r="136" spans="1:13" ht="14.25" customHeight="1" x14ac:dyDescent="0.25">
      <c r="A136">
        <v>101</v>
      </c>
      <c r="B136">
        <v>108</v>
      </c>
      <c r="C136">
        <f>IFERROR(HLOOKUP(VLOOKUP($C$2,Respuestas!$A$2:$HO$11,VALUE(B136)),D136:K137,2,0),"")</f>
        <v>0</v>
      </c>
      <c r="D136" t="s">
        <v>268</v>
      </c>
      <c r="E136" t="s">
        <v>256</v>
      </c>
    </row>
    <row r="137" spans="1:13" ht="14.25" customHeight="1" x14ac:dyDescent="0.25">
      <c r="D137" s="32">
        <v>2</v>
      </c>
      <c r="E137" s="32">
        <v>0</v>
      </c>
      <c r="F137" s="33"/>
      <c r="G137" s="33"/>
      <c r="H137" s="33"/>
      <c r="I137" s="33"/>
      <c r="J137" s="33"/>
      <c r="K137" s="33"/>
      <c r="L137">
        <f>MIN(D137:K137)</f>
        <v>0</v>
      </c>
      <c r="M137">
        <f>MAX(D137:K137)</f>
        <v>2</v>
      </c>
    </row>
    <row r="138" spans="1:13" ht="14.25" customHeight="1" x14ac:dyDescent="0.25">
      <c r="A138">
        <v>102</v>
      </c>
      <c r="B138">
        <v>109</v>
      </c>
      <c r="C138" t="str">
        <f>IF(VLOOKUP($C$2,Respuestas!$A$2:$HO$11,VALUE(B138),0)=0, " ", VLOOKUP($C$2,Respuestas!$A$2:$HO$11,VALUE(B138),0))</f>
        <v>NINGUNA</v>
      </c>
    </row>
    <row r="139" spans="1:13" ht="14.25" customHeight="1" x14ac:dyDescent="0.25">
      <c r="D139" s="33"/>
      <c r="E139" s="33"/>
      <c r="F139" s="33"/>
      <c r="G139" s="33"/>
      <c r="H139" s="33"/>
      <c r="I139" s="33"/>
      <c r="J139" s="33"/>
      <c r="K139" s="33"/>
      <c r="L139">
        <f>MIN(D139:K139)</f>
        <v>0</v>
      </c>
      <c r="M139">
        <f>MAX(D139:K139)</f>
        <v>0</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sheetPr>
  <dimension ref="A1:T100"/>
  <sheetViews>
    <sheetView workbookViewId="0"/>
  </sheetViews>
  <sheetFormatPr baseColWidth="10" defaultColWidth="14.42578125" defaultRowHeight="15" customHeight="1" x14ac:dyDescent="0.25"/>
  <cols>
    <col min="1" max="14" width="10.7109375" customWidth="1"/>
    <col min="15" max="20" width="8.7109375" customWidth="1"/>
  </cols>
  <sheetData>
    <row r="1" spans="1:13" ht="14.25" customHeight="1" x14ac:dyDescent="0.25"/>
    <row r="2" spans="1:13" ht="14.25" customHeight="1" x14ac:dyDescent="0.25">
      <c r="I2" t="s">
        <v>506</v>
      </c>
      <c r="J2">
        <f>SUM(J4:J43)</f>
        <v>32</v>
      </c>
      <c r="L2">
        <f t="shared" ref="L2:M2" si="0">SUM(L4:L43)</f>
        <v>0</v>
      </c>
      <c r="M2">
        <f t="shared" si="0"/>
        <v>135</v>
      </c>
    </row>
    <row r="3" spans="1:13" ht="14.25" customHeight="1" x14ac:dyDescent="0.25">
      <c r="A3" t="s">
        <v>407</v>
      </c>
      <c r="B3" t="s">
        <v>408</v>
      </c>
      <c r="C3" s="22" t="s">
        <v>276</v>
      </c>
      <c r="D3" s="34" t="s">
        <v>507</v>
      </c>
      <c r="E3" s="34" t="s">
        <v>277</v>
      </c>
      <c r="F3" s="34" t="s">
        <v>255</v>
      </c>
      <c r="I3">
        <f>+'Reporte Ind'!B1</f>
        <v>4</v>
      </c>
    </row>
    <row r="4" spans="1:13" ht="14.25" customHeight="1" x14ac:dyDescent="0.25">
      <c r="A4">
        <v>109</v>
      </c>
      <c r="B4">
        <v>116</v>
      </c>
      <c r="C4" s="35">
        <v>1</v>
      </c>
      <c r="D4" s="35">
        <v>1</v>
      </c>
      <c r="E4" s="35">
        <v>0</v>
      </c>
      <c r="F4" s="35">
        <v>0</v>
      </c>
      <c r="I4" t="str">
        <f>VLOOKUP($I$3,Respuestas!$A$2:$HO$11,VALUE('Ponderación médica'!B4))</f>
        <v>A veces</v>
      </c>
      <c r="J4">
        <f t="shared" ref="J4:J43" si="1">IF(I4="Muchas veces",$C4,IF(I4="Muchas",$D4, IF(I4="A veces",$E4,$F4)))</f>
        <v>0</v>
      </c>
      <c r="L4">
        <f t="shared" ref="L4:L43" si="2">MIN(C4:F4)</f>
        <v>0</v>
      </c>
      <c r="M4">
        <f t="shared" ref="M4:M43" si="3">MAX(C4:F4)</f>
        <v>1</v>
      </c>
    </row>
    <row r="5" spans="1:13" ht="14.25" customHeight="1" x14ac:dyDescent="0.25">
      <c r="A5">
        <v>109</v>
      </c>
      <c r="B5">
        <v>117</v>
      </c>
      <c r="C5" s="35">
        <v>2</v>
      </c>
      <c r="D5" s="35">
        <v>2</v>
      </c>
      <c r="E5" s="35">
        <v>1</v>
      </c>
      <c r="F5" s="35">
        <v>0</v>
      </c>
      <c r="I5" t="str">
        <f>VLOOKUP($I$3,Respuestas!$A$2:$HO$11,VALUE('Ponderación médica'!B5))</f>
        <v>Nunca</v>
      </c>
      <c r="J5">
        <f t="shared" si="1"/>
        <v>0</v>
      </c>
      <c r="L5">
        <f t="shared" si="2"/>
        <v>0</v>
      </c>
      <c r="M5">
        <f t="shared" si="3"/>
        <v>2</v>
      </c>
    </row>
    <row r="6" spans="1:13" ht="14.25" customHeight="1" x14ac:dyDescent="0.25">
      <c r="A6">
        <v>109</v>
      </c>
      <c r="B6">
        <v>118</v>
      </c>
      <c r="C6" s="32">
        <v>3</v>
      </c>
      <c r="D6" s="32">
        <v>3</v>
      </c>
      <c r="E6" s="32">
        <v>2</v>
      </c>
      <c r="F6" s="32">
        <v>0</v>
      </c>
      <c r="I6" t="str">
        <f>VLOOKUP($I$3,Respuestas!$A$2:$HO$11,VALUE('Ponderación médica'!B6))</f>
        <v>Nunca</v>
      </c>
      <c r="J6">
        <f t="shared" si="1"/>
        <v>0</v>
      </c>
      <c r="L6">
        <f t="shared" si="2"/>
        <v>0</v>
      </c>
      <c r="M6">
        <f t="shared" si="3"/>
        <v>3</v>
      </c>
    </row>
    <row r="7" spans="1:13" ht="14.25" customHeight="1" x14ac:dyDescent="0.25">
      <c r="A7">
        <v>109</v>
      </c>
      <c r="B7">
        <v>119</v>
      </c>
      <c r="C7" s="32">
        <v>4</v>
      </c>
      <c r="D7" s="32">
        <v>4</v>
      </c>
      <c r="E7" s="32">
        <v>2</v>
      </c>
      <c r="F7" s="32">
        <v>0</v>
      </c>
      <c r="I7" t="str">
        <f>VLOOKUP($I$3,Respuestas!$A$2:$HO$11,VALUE('Ponderación médica'!B7))</f>
        <v>Nunca</v>
      </c>
      <c r="J7">
        <f t="shared" si="1"/>
        <v>0</v>
      </c>
      <c r="L7">
        <f t="shared" si="2"/>
        <v>0</v>
      </c>
      <c r="M7">
        <f t="shared" si="3"/>
        <v>4</v>
      </c>
    </row>
    <row r="8" spans="1:13" ht="14.25" customHeight="1" x14ac:dyDescent="0.25">
      <c r="A8">
        <v>109</v>
      </c>
      <c r="B8">
        <v>120</v>
      </c>
      <c r="C8" s="32">
        <v>5</v>
      </c>
      <c r="D8" s="32">
        <v>5</v>
      </c>
      <c r="E8" s="32">
        <v>3</v>
      </c>
      <c r="F8" s="32">
        <v>0</v>
      </c>
      <c r="I8" t="str">
        <f>VLOOKUP($I$3,Respuestas!$A$2:$HO$11,VALUE('Ponderación médica'!B8))</f>
        <v>Nunca</v>
      </c>
      <c r="J8">
        <f t="shared" si="1"/>
        <v>0</v>
      </c>
      <c r="L8">
        <f t="shared" si="2"/>
        <v>0</v>
      </c>
      <c r="M8">
        <f t="shared" si="3"/>
        <v>5</v>
      </c>
    </row>
    <row r="9" spans="1:13" ht="14.25" customHeight="1" x14ac:dyDescent="0.25">
      <c r="A9">
        <v>109</v>
      </c>
      <c r="B9">
        <v>121</v>
      </c>
      <c r="C9" s="32">
        <v>6</v>
      </c>
      <c r="D9" s="32">
        <v>6</v>
      </c>
      <c r="E9" s="32">
        <v>4</v>
      </c>
      <c r="F9" s="32">
        <v>0</v>
      </c>
      <c r="I9" t="str">
        <f>VLOOKUP($I$3,Respuestas!$A$2:$HO$11,VALUE('Ponderación médica'!B9))</f>
        <v>Nunca</v>
      </c>
      <c r="J9">
        <f t="shared" si="1"/>
        <v>0</v>
      </c>
      <c r="L9">
        <f t="shared" si="2"/>
        <v>0</v>
      </c>
      <c r="M9">
        <f t="shared" si="3"/>
        <v>6</v>
      </c>
    </row>
    <row r="10" spans="1:13" ht="14.25" customHeight="1" x14ac:dyDescent="0.25">
      <c r="A10">
        <v>110</v>
      </c>
      <c r="B10">
        <v>122</v>
      </c>
      <c r="C10" s="35">
        <v>1</v>
      </c>
      <c r="D10" s="35">
        <v>1</v>
      </c>
      <c r="E10" s="35">
        <v>0</v>
      </c>
      <c r="F10" s="35">
        <v>0</v>
      </c>
      <c r="I10" t="str">
        <f>VLOOKUP($I$3,Respuestas!$A$2:$HO$11,VALUE('Ponderación médica'!B10))</f>
        <v>A veces</v>
      </c>
      <c r="J10">
        <f t="shared" si="1"/>
        <v>0</v>
      </c>
      <c r="L10">
        <f t="shared" si="2"/>
        <v>0</v>
      </c>
      <c r="M10">
        <f t="shared" si="3"/>
        <v>1</v>
      </c>
    </row>
    <row r="11" spans="1:13" ht="14.25" customHeight="1" x14ac:dyDescent="0.25">
      <c r="A11">
        <v>110</v>
      </c>
      <c r="B11">
        <v>123</v>
      </c>
      <c r="C11" s="35">
        <v>2</v>
      </c>
      <c r="D11" s="35">
        <v>2</v>
      </c>
      <c r="E11" s="35">
        <v>1</v>
      </c>
      <c r="F11" s="35">
        <v>0</v>
      </c>
      <c r="I11" t="str">
        <f>VLOOKUP($I$3,Respuestas!$A$2:$HO$11,VALUE('Ponderación médica'!B11))</f>
        <v>Nunca</v>
      </c>
      <c r="J11">
        <f t="shared" si="1"/>
        <v>0</v>
      </c>
      <c r="L11">
        <f t="shared" si="2"/>
        <v>0</v>
      </c>
      <c r="M11">
        <f t="shared" si="3"/>
        <v>2</v>
      </c>
    </row>
    <row r="12" spans="1:13" ht="14.25" customHeight="1" x14ac:dyDescent="0.25">
      <c r="A12">
        <v>110</v>
      </c>
      <c r="B12">
        <v>124</v>
      </c>
      <c r="C12" s="32">
        <v>3</v>
      </c>
      <c r="D12" s="32">
        <v>3</v>
      </c>
      <c r="E12" s="32">
        <v>2</v>
      </c>
      <c r="F12" s="32">
        <v>0</v>
      </c>
      <c r="I12" t="str">
        <f>VLOOKUP($I$3,Respuestas!$A$2:$HO$11,VALUE('Ponderación médica'!B12))</f>
        <v>A veces</v>
      </c>
      <c r="J12">
        <f t="shared" si="1"/>
        <v>2</v>
      </c>
      <c r="L12">
        <f t="shared" si="2"/>
        <v>0</v>
      </c>
      <c r="M12">
        <f t="shared" si="3"/>
        <v>3</v>
      </c>
    </row>
    <row r="13" spans="1:13" ht="14.25" customHeight="1" x14ac:dyDescent="0.25">
      <c r="A13">
        <v>110</v>
      </c>
      <c r="B13">
        <v>125</v>
      </c>
      <c r="C13" s="32">
        <v>4</v>
      </c>
      <c r="D13" s="32">
        <v>4</v>
      </c>
      <c r="E13" s="32">
        <v>2</v>
      </c>
      <c r="F13" s="32">
        <v>0</v>
      </c>
      <c r="I13" t="str">
        <f>VLOOKUP($I$3,Respuestas!$A$2:$HO$11,VALUE('Ponderación médica'!B13))</f>
        <v>A veces</v>
      </c>
      <c r="J13">
        <f t="shared" si="1"/>
        <v>2</v>
      </c>
      <c r="L13">
        <f t="shared" si="2"/>
        <v>0</v>
      </c>
      <c r="M13">
        <f t="shared" si="3"/>
        <v>4</v>
      </c>
    </row>
    <row r="14" spans="1:13" ht="14.25" customHeight="1" x14ac:dyDescent="0.25">
      <c r="A14">
        <v>110</v>
      </c>
      <c r="B14">
        <v>126</v>
      </c>
      <c r="C14" s="32">
        <v>5</v>
      </c>
      <c r="D14" s="32">
        <v>5</v>
      </c>
      <c r="E14" s="32">
        <v>3</v>
      </c>
      <c r="F14" s="32">
        <v>0</v>
      </c>
      <c r="I14" t="str">
        <f>VLOOKUP($I$3,Respuestas!$A$2:$HO$11,VALUE('Ponderación médica'!B14))</f>
        <v>Nunca</v>
      </c>
      <c r="J14">
        <f t="shared" si="1"/>
        <v>0</v>
      </c>
      <c r="L14">
        <f t="shared" si="2"/>
        <v>0</v>
      </c>
      <c r="M14">
        <f t="shared" si="3"/>
        <v>5</v>
      </c>
    </row>
    <row r="15" spans="1:13" ht="14.25" customHeight="1" x14ac:dyDescent="0.25">
      <c r="A15">
        <v>110</v>
      </c>
      <c r="B15">
        <v>127</v>
      </c>
      <c r="C15" s="32">
        <v>6</v>
      </c>
      <c r="D15" s="32">
        <v>6</v>
      </c>
      <c r="E15" s="32">
        <v>4</v>
      </c>
      <c r="F15" s="32">
        <v>0</v>
      </c>
      <c r="I15" t="str">
        <f>VLOOKUP($I$3,Respuestas!$A$2:$HO$11,VALUE('Ponderación médica'!B15))</f>
        <v>Nunca</v>
      </c>
      <c r="J15">
        <f t="shared" si="1"/>
        <v>0</v>
      </c>
      <c r="L15">
        <f t="shared" si="2"/>
        <v>0</v>
      </c>
      <c r="M15">
        <f t="shared" si="3"/>
        <v>6</v>
      </c>
    </row>
    <row r="16" spans="1:13" ht="14.25" customHeight="1" x14ac:dyDescent="0.25">
      <c r="A16">
        <v>111</v>
      </c>
      <c r="B16">
        <v>128</v>
      </c>
      <c r="C16" s="35">
        <v>1</v>
      </c>
      <c r="D16" s="35">
        <v>1</v>
      </c>
      <c r="E16" s="35">
        <v>0</v>
      </c>
      <c r="F16" s="35">
        <v>0</v>
      </c>
      <c r="I16" t="str">
        <f>VLOOKUP($I$3,Respuestas!$A$2:$HO$11,VALUE('Ponderación médica'!B16))</f>
        <v>Muchas veces</v>
      </c>
      <c r="J16">
        <f t="shared" si="1"/>
        <v>1</v>
      </c>
      <c r="L16">
        <f t="shared" si="2"/>
        <v>0</v>
      </c>
      <c r="M16">
        <f t="shared" si="3"/>
        <v>1</v>
      </c>
    </row>
    <row r="17" spans="1:13" ht="14.25" customHeight="1" x14ac:dyDescent="0.25">
      <c r="A17">
        <v>111</v>
      </c>
      <c r="B17">
        <v>129</v>
      </c>
      <c r="C17" s="35">
        <v>2</v>
      </c>
      <c r="D17" s="35">
        <v>2</v>
      </c>
      <c r="E17" s="35">
        <v>1</v>
      </c>
      <c r="F17" s="35">
        <v>0</v>
      </c>
      <c r="I17" t="str">
        <f>VLOOKUP($I$3,Respuestas!$A$2:$HO$11,VALUE('Ponderación médica'!B17))</f>
        <v>A veces</v>
      </c>
      <c r="J17">
        <f t="shared" si="1"/>
        <v>1</v>
      </c>
      <c r="L17">
        <f t="shared" si="2"/>
        <v>0</v>
      </c>
      <c r="M17">
        <f t="shared" si="3"/>
        <v>2</v>
      </c>
    </row>
    <row r="18" spans="1:13" ht="14.25" customHeight="1" x14ac:dyDescent="0.25">
      <c r="A18">
        <v>111</v>
      </c>
      <c r="B18">
        <v>130</v>
      </c>
      <c r="C18" s="32">
        <v>3</v>
      </c>
      <c r="D18" s="32">
        <v>3</v>
      </c>
      <c r="E18" s="32">
        <v>2</v>
      </c>
      <c r="F18" s="32">
        <v>0</v>
      </c>
      <c r="I18" t="str">
        <f>VLOOKUP($I$3,Respuestas!$A$2:$HO$11,VALUE('Ponderación médica'!B18))</f>
        <v>A veces</v>
      </c>
      <c r="J18">
        <f t="shared" si="1"/>
        <v>2</v>
      </c>
      <c r="L18">
        <f t="shared" si="2"/>
        <v>0</v>
      </c>
      <c r="M18">
        <f t="shared" si="3"/>
        <v>3</v>
      </c>
    </row>
    <row r="19" spans="1:13" ht="14.25" customHeight="1" x14ac:dyDescent="0.25">
      <c r="A19">
        <v>111</v>
      </c>
      <c r="B19">
        <v>131</v>
      </c>
      <c r="C19" s="32">
        <v>4</v>
      </c>
      <c r="D19" s="32">
        <v>4</v>
      </c>
      <c r="E19" s="32">
        <v>2</v>
      </c>
      <c r="F19" s="32">
        <v>0</v>
      </c>
      <c r="I19" t="str">
        <f>VLOOKUP($I$3,Respuestas!$A$2:$HO$11,VALUE('Ponderación médica'!B19))</f>
        <v>Muchas veces</v>
      </c>
      <c r="J19">
        <f t="shared" si="1"/>
        <v>4</v>
      </c>
      <c r="L19">
        <f t="shared" si="2"/>
        <v>0</v>
      </c>
      <c r="M19">
        <f t="shared" si="3"/>
        <v>4</v>
      </c>
    </row>
    <row r="20" spans="1:13" ht="14.25" customHeight="1" x14ac:dyDescent="0.25">
      <c r="A20">
        <v>111</v>
      </c>
      <c r="B20">
        <v>132</v>
      </c>
      <c r="C20" s="32">
        <v>5</v>
      </c>
      <c r="D20" s="32">
        <v>5</v>
      </c>
      <c r="E20" s="32">
        <v>3</v>
      </c>
      <c r="F20" s="32">
        <v>0</v>
      </c>
      <c r="I20" t="str">
        <f>VLOOKUP($I$3,Respuestas!$A$2:$HO$11,VALUE('Ponderación médica'!B20))</f>
        <v>A veces</v>
      </c>
      <c r="J20">
        <f t="shared" si="1"/>
        <v>3</v>
      </c>
      <c r="L20">
        <f t="shared" si="2"/>
        <v>0</v>
      </c>
      <c r="M20">
        <f t="shared" si="3"/>
        <v>5</v>
      </c>
    </row>
    <row r="21" spans="1:13" ht="14.25" customHeight="1" x14ac:dyDescent="0.25">
      <c r="A21">
        <v>111</v>
      </c>
      <c r="B21">
        <v>133</v>
      </c>
      <c r="C21" s="32">
        <v>6</v>
      </c>
      <c r="D21" s="32">
        <v>6</v>
      </c>
      <c r="E21" s="32">
        <v>4</v>
      </c>
      <c r="F21" s="32">
        <v>0</v>
      </c>
      <c r="I21" t="str">
        <f>VLOOKUP($I$3,Respuestas!$A$2:$HO$11,VALUE('Ponderación médica'!B21))</f>
        <v>A veces</v>
      </c>
      <c r="J21">
        <f t="shared" si="1"/>
        <v>4</v>
      </c>
      <c r="L21">
        <f t="shared" si="2"/>
        <v>0</v>
      </c>
      <c r="M21">
        <f t="shared" si="3"/>
        <v>6</v>
      </c>
    </row>
    <row r="22" spans="1:13" ht="14.25" customHeight="1" x14ac:dyDescent="0.25">
      <c r="A22">
        <v>112</v>
      </c>
      <c r="B22">
        <v>134</v>
      </c>
      <c r="C22" s="35">
        <v>1</v>
      </c>
      <c r="D22" s="35">
        <v>1</v>
      </c>
      <c r="E22" s="35">
        <v>0</v>
      </c>
      <c r="F22" s="35">
        <v>0</v>
      </c>
      <c r="I22" t="str">
        <f>VLOOKUP($I$3,Respuestas!$A$2:$HO$11,VALUE('Ponderación médica'!B22))</f>
        <v>Nunca</v>
      </c>
      <c r="J22">
        <f t="shared" si="1"/>
        <v>0</v>
      </c>
      <c r="L22">
        <f t="shared" si="2"/>
        <v>0</v>
      </c>
      <c r="M22">
        <f t="shared" si="3"/>
        <v>1</v>
      </c>
    </row>
    <row r="23" spans="1:13" ht="14.25" customHeight="1" x14ac:dyDescent="0.25">
      <c r="A23">
        <v>112</v>
      </c>
      <c r="B23">
        <v>135</v>
      </c>
      <c r="C23" s="35">
        <v>2</v>
      </c>
      <c r="D23" s="35">
        <v>2</v>
      </c>
      <c r="E23" s="35">
        <v>1</v>
      </c>
      <c r="F23" s="35">
        <v>0</v>
      </c>
      <c r="I23" t="str">
        <f>VLOOKUP($I$3,Respuestas!$A$2:$HO$11,VALUE('Ponderación médica'!B23))</f>
        <v>Nunca</v>
      </c>
      <c r="J23">
        <f t="shared" si="1"/>
        <v>0</v>
      </c>
      <c r="L23">
        <f t="shared" si="2"/>
        <v>0</v>
      </c>
      <c r="M23">
        <f t="shared" si="3"/>
        <v>2</v>
      </c>
    </row>
    <row r="24" spans="1:13" ht="14.25" customHeight="1" x14ac:dyDescent="0.25">
      <c r="A24">
        <v>112</v>
      </c>
      <c r="B24">
        <v>136</v>
      </c>
      <c r="C24" s="32">
        <v>3</v>
      </c>
      <c r="D24" s="32">
        <v>3</v>
      </c>
      <c r="E24" s="32">
        <v>2</v>
      </c>
      <c r="F24" s="32">
        <v>0</v>
      </c>
      <c r="I24" t="str">
        <f>VLOOKUP($I$3,Respuestas!$A$2:$HO$11,VALUE('Ponderación médica'!B24))</f>
        <v>Nunca</v>
      </c>
      <c r="J24">
        <f t="shared" si="1"/>
        <v>0</v>
      </c>
      <c r="L24">
        <f t="shared" si="2"/>
        <v>0</v>
      </c>
      <c r="M24">
        <f t="shared" si="3"/>
        <v>3</v>
      </c>
    </row>
    <row r="25" spans="1:13" ht="14.25" customHeight="1" x14ac:dyDescent="0.25">
      <c r="A25">
        <v>112</v>
      </c>
      <c r="B25">
        <v>137</v>
      </c>
      <c r="C25" s="32">
        <v>4</v>
      </c>
      <c r="D25" s="32">
        <v>4</v>
      </c>
      <c r="E25" s="32">
        <v>2</v>
      </c>
      <c r="F25" s="32">
        <v>0</v>
      </c>
      <c r="I25" t="str">
        <f>VLOOKUP($I$3,Respuestas!$A$2:$HO$11,VALUE('Ponderación médica'!B25))</f>
        <v>Nunca</v>
      </c>
      <c r="J25">
        <f t="shared" si="1"/>
        <v>0</v>
      </c>
      <c r="L25">
        <f t="shared" si="2"/>
        <v>0</v>
      </c>
      <c r="M25">
        <f t="shared" si="3"/>
        <v>4</v>
      </c>
    </row>
    <row r="26" spans="1:13" ht="14.25" customHeight="1" x14ac:dyDescent="0.25">
      <c r="A26">
        <v>112</v>
      </c>
      <c r="B26">
        <v>138</v>
      </c>
      <c r="C26" s="32">
        <v>5</v>
      </c>
      <c r="D26" s="32">
        <v>5</v>
      </c>
      <c r="E26" s="32">
        <v>3</v>
      </c>
      <c r="F26" s="32">
        <v>0</v>
      </c>
      <c r="I26" t="str">
        <f>VLOOKUP($I$3,Respuestas!$A$2:$HO$11,VALUE('Ponderación médica'!B26))</f>
        <v>Nunca</v>
      </c>
      <c r="J26">
        <f t="shared" si="1"/>
        <v>0</v>
      </c>
      <c r="L26">
        <f t="shared" si="2"/>
        <v>0</v>
      </c>
      <c r="M26">
        <f t="shared" si="3"/>
        <v>5</v>
      </c>
    </row>
    <row r="27" spans="1:13" ht="14.25" customHeight="1" x14ac:dyDescent="0.25">
      <c r="A27">
        <v>113</v>
      </c>
      <c r="B27">
        <v>139</v>
      </c>
      <c r="C27" s="35">
        <v>1</v>
      </c>
      <c r="D27" s="35">
        <v>1</v>
      </c>
      <c r="E27" s="35">
        <v>0</v>
      </c>
      <c r="F27" s="35">
        <v>0</v>
      </c>
      <c r="I27" t="str">
        <f>VLOOKUP($I$3,Respuestas!$A$2:$HO$11,VALUE('Ponderación médica'!B27))</f>
        <v>Nunca</v>
      </c>
      <c r="J27">
        <f t="shared" si="1"/>
        <v>0</v>
      </c>
      <c r="L27">
        <f t="shared" si="2"/>
        <v>0</v>
      </c>
      <c r="M27">
        <f t="shared" si="3"/>
        <v>1</v>
      </c>
    </row>
    <row r="28" spans="1:13" ht="14.25" customHeight="1" x14ac:dyDescent="0.25">
      <c r="A28">
        <v>113</v>
      </c>
      <c r="B28">
        <v>140</v>
      </c>
      <c r="C28" s="35">
        <v>2</v>
      </c>
      <c r="D28" s="35">
        <v>2</v>
      </c>
      <c r="E28" s="35">
        <v>1</v>
      </c>
      <c r="F28" s="35">
        <v>0</v>
      </c>
      <c r="I28" t="str">
        <f>VLOOKUP($I$3,Respuestas!$A$2:$HO$11,VALUE('Ponderación médica'!B28))</f>
        <v>Nunca</v>
      </c>
      <c r="J28">
        <f t="shared" si="1"/>
        <v>0</v>
      </c>
      <c r="L28">
        <f t="shared" si="2"/>
        <v>0</v>
      </c>
      <c r="M28">
        <f t="shared" si="3"/>
        <v>2</v>
      </c>
    </row>
    <row r="29" spans="1:13" ht="14.25" customHeight="1" x14ac:dyDescent="0.25">
      <c r="A29">
        <v>113</v>
      </c>
      <c r="B29">
        <v>141</v>
      </c>
      <c r="C29" s="32">
        <v>3</v>
      </c>
      <c r="D29" s="32">
        <v>3</v>
      </c>
      <c r="E29" s="32">
        <v>2</v>
      </c>
      <c r="F29" s="32">
        <v>0</v>
      </c>
      <c r="I29" t="str">
        <f>VLOOKUP($I$3,Respuestas!$A$2:$HO$11,VALUE('Ponderación médica'!B29))</f>
        <v>Nunca</v>
      </c>
      <c r="J29">
        <f t="shared" si="1"/>
        <v>0</v>
      </c>
      <c r="L29">
        <f t="shared" si="2"/>
        <v>0</v>
      </c>
      <c r="M29">
        <f t="shared" si="3"/>
        <v>3</v>
      </c>
    </row>
    <row r="30" spans="1:13" ht="14.25" customHeight="1" x14ac:dyDescent="0.25">
      <c r="A30">
        <v>113</v>
      </c>
      <c r="B30">
        <v>142</v>
      </c>
      <c r="C30" s="32">
        <v>4</v>
      </c>
      <c r="D30" s="32">
        <v>4</v>
      </c>
      <c r="E30" s="32">
        <v>2</v>
      </c>
      <c r="F30" s="32">
        <v>0</v>
      </c>
      <c r="I30" t="str">
        <f>VLOOKUP($I$3,Respuestas!$A$2:$HO$11,VALUE('Ponderación médica'!B30))</f>
        <v>Nunca</v>
      </c>
      <c r="J30">
        <f t="shared" si="1"/>
        <v>0</v>
      </c>
      <c r="L30">
        <f t="shared" si="2"/>
        <v>0</v>
      </c>
      <c r="M30">
        <f t="shared" si="3"/>
        <v>4</v>
      </c>
    </row>
    <row r="31" spans="1:13" ht="14.25" customHeight="1" x14ac:dyDescent="0.25">
      <c r="A31">
        <v>113</v>
      </c>
      <c r="B31">
        <v>143</v>
      </c>
      <c r="C31" s="32">
        <v>5</v>
      </c>
      <c r="D31" s="32">
        <v>5</v>
      </c>
      <c r="E31" s="32">
        <v>3</v>
      </c>
      <c r="F31" s="32">
        <v>0</v>
      </c>
      <c r="I31" t="str">
        <f>VLOOKUP($I$3,Respuestas!$A$2:$HO$11,VALUE('Ponderación médica'!B31))</f>
        <v>Nunca</v>
      </c>
      <c r="J31">
        <f t="shared" si="1"/>
        <v>0</v>
      </c>
      <c r="L31">
        <f t="shared" si="2"/>
        <v>0</v>
      </c>
      <c r="M31">
        <f t="shared" si="3"/>
        <v>5</v>
      </c>
    </row>
    <row r="32" spans="1:13" ht="14.25" customHeight="1" x14ac:dyDescent="0.25">
      <c r="A32">
        <v>114</v>
      </c>
      <c r="B32">
        <v>144</v>
      </c>
      <c r="C32" s="35">
        <v>1</v>
      </c>
      <c r="D32" s="35">
        <v>1</v>
      </c>
      <c r="E32" s="35">
        <v>0</v>
      </c>
      <c r="F32" s="35">
        <v>0</v>
      </c>
      <c r="I32" t="str">
        <f>VLOOKUP($I$3,Respuestas!$A$2:$HO$11,VALUE('Ponderación médica'!B32))</f>
        <v>A veces</v>
      </c>
      <c r="J32">
        <f t="shared" si="1"/>
        <v>0</v>
      </c>
      <c r="L32">
        <f t="shared" si="2"/>
        <v>0</v>
      </c>
      <c r="M32">
        <f t="shared" si="3"/>
        <v>1</v>
      </c>
    </row>
    <row r="33" spans="1:20" ht="14.25" customHeight="1" x14ac:dyDescent="0.25">
      <c r="A33">
        <v>114</v>
      </c>
      <c r="B33">
        <v>145</v>
      </c>
      <c r="C33" s="35">
        <v>2</v>
      </c>
      <c r="D33" s="35">
        <v>2</v>
      </c>
      <c r="E33" s="35">
        <v>1</v>
      </c>
      <c r="F33" s="35">
        <v>0</v>
      </c>
      <c r="I33" t="str">
        <f>VLOOKUP($I$3,Respuestas!$A$2:$HO$11,VALUE('Ponderación médica'!B33))</f>
        <v>Nunca</v>
      </c>
      <c r="J33">
        <f t="shared" si="1"/>
        <v>0</v>
      </c>
      <c r="L33">
        <f t="shared" si="2"/>
        <v>0</v>
      </c>
      <c r="M33">
        <f t="shared" si="3"/>
        <v>2</v>
      </c>
    </row>
    <row r="34" spans="1:20" ht="14.25" customHeight="1" x14ac:dyDescent="0.25">
      <c r="A34">
        <v>114</v>
      </c>
      <c r="B34">
        <v>146</v>
      </c>
      <c r="C34" s="32">
        <v>3</v>
      </c>
      <c r="D34" s="32">
        <v>3</v>
      </c>
      <c r="E34" s="32">
        <v>2</v>
      </c>
      <c r="F34" s="32">
        <v>0</v>
      </c>
      <c r="I34" t="str">
        <f>VLOOKUP($I$3,Respuestas!$A$2:$HO$11,VALUE('Ponderación médica'!B34))</f>
        <v>Nunca</v>
      </c>
      <c r="J34">
        <f t="shared" si="1"/>
        <v>0</v>
      </c>
      <c r="L34">
        <f t="shared" si="2"/>
        <v>0</v>
      </c>
      <c r="M34">
        <f t="shared" si="3"/>
        <v>3</v>
      </c>
    </row>
    <row r="35" spans="1:20" ht="14.25" customHeight="1" x14ac:dyDescent="0.25">
      <c r="A35">
        <v>114</v>
      </c>
      <c r="B35">
        <v>147</v>
      </c>
      <c r="C35" s="32">
        <v>4</v>
      </c>
      <c r="D35" s="32">
        <v>4</v>
      </c>
      <c r="E35" s="32">
        <v>2</v>
      </c>
      <c r="F35" s="32">
        <v>0</v>
      </c>
      <c r="I35" t="str">
        <f>VLOOKUP($I$3,Respuestas!$A$2:$HO$11,VALUE('Ponderación médica'!B35))</f>
        <v>A veces</v>
      </c>
      <c r="J35">
        <f t="shared" si="1"/>
        <v>2</v>
      </c>
      <c r="L35">
        <f t="shared" si="2"/>
        <v>0</v>
      </c>
      <c r="M35">
        <f t="shared" si="3"/>
        <v>4</v>
      </c>
    </row>
    <row r="36" spans="1:20" ht="14.25" customHeight="1" x14ac:dyDescent="0.25">
      <c r="A36">
        <v>114</v>
      </c>
      <c r="B36">
        <v>148</v>
      </c>
      <c r="C36" s="32">
        <v>5</v>
      </c>
      <c r="D36" s="32">
        <v>5</v>
      </c>
      <c r="E36" s="32">
        <v>3</v>
      </c>
      <c r="F36" s="32">
        <v>0</v>
      </c>
      <c r="I36" t="str">
        <f>VLOOKUP($I$3,Respuestas!$A$2:$HO$11,VALUE('Ponderación médica'!B36))</f>
        <v>A veces</v>
      </c>
      <c r="J36">
        <f t="shared" si="1"/>
        <v>3</v>
      </c>
      <c r="L36">
        <f t="shared" si="2"/>
        <v>0</v>
      </c>
      <c r="M36">
        <f t="shared" si="3"/>
        <v>5</v>
      </c>
    </row>
    <row r="37" spans="1:20" ht="14.25" customHeight="1" x14ac:dyDescent="0.25">
      <c r="A37">
        <v>114</v>
      </c>
      <c r="B37">
        <v>149</v>
      </c>
      <c r="C37" s="32">
        <v>6</v>
      </c>
      <c r="D37" s="32">
        <v>6</v>
      </c>
      <c r="E37" s="32">
        <v>4</v>
      </c>
      <c r="F37" s="32">
        <v>0</v>
      </c>
      <c r="I37" t="str">
        <f>VLOOKUP($I$3,Respuestas!$A$2:$HO$11,VALUE('Ponderación médica'!B37))</f>
        <v>Nunca</v>
      </c>
      <c r="J37">
        <f t="shared" si="1"/>
        <v>0</v>
      </c>
      <c r="L37">
        <f t="shared" si="2"/>
        <v>0</v>
      </c>
      <c r="M37">
        <f t="shared" si="3"/>
        <v>6</v>
      </c>
    </row>
    <row r="38" spans="1:20" ht="14.25" customHeight="1" x14ac:dyDescent="0.25">
      <c r="A38">
        <v>115</v>
      </c>
      <c r="B38">
        <v>150</v>
      </c>
      <c r="C38" s="35">
        <v>1</v>
      </c>
      <c r="D38" s="35">
        <v>1</v>
      </c>
      <c r="E38" s="35">
        <v>0</v>
      </c>
      <c r="F38" s="35">
        <v>0</v>
      </c>
      <c r="I38" t="str">
        <f>VLOOKUP($I$3,Respuestas!$A$2:$HO$11,VALUE('Ponderación médica'!B38))</f>
        <v>A veces</v>
      </c>
      <c r="J38">
        <f t="shared" si="1"/>
        <v>0</v>
      </c>
      <c r="L38">
        <f t="shared" si="2"/>
        <v>0</v>
      </c>
      <c r="M38">
        <f t="shared" si="3"/>
        <v>1</v>
      </c>
    </row>
    <row r="39" spans="1:20" ht="14.25" customHeight="1" x14ac:dyDescent="0.25">
      <c r="A39">
        <v>115</v>
      </c>
      <c r="B39">
        <v>151</v>
      </c>
      <c r="C39" s="35">
        <v>2</v>
      </c>
      <c r="D39" s="35">
        <v>2</v>
      </c>
      <c r="E39" s="35">
        <v>1</v>
      </c>
      <c r="F39" s="35">
        <v>0</v>
      </c>
      <c r="I39" t="str">
        <f>VLOOKUP($I$3,Respuestas!$A$2:$HO$11,VALUE('Ponderación médica'!B39))</f>
        <v>A veces</v>
      </c>
      <c r="J39">
        <f t="shared" si="1"/>
        <v>1</v>
      </c>
      <c r="L39">
        <f t="shared" si="2"/>
        <v>0</v>
      </c>
      <c r="M39">
        <f t="shared" si="3"/>
        <v>2</v>
      </c>
    </row>
    <row r="40" spans="1:20" ht="14.25" customHeight="1" x14ac:dyDescent="0.25">
      <c r="A40">
        <v>115</v>
      </c>
      <c r="B40">
        <v>152</v>
      </c>
      <c r="C40" s="32">
        <v>3</v>
      </c>
      <c r="D40" s="32">
        <v>3</v>
      </c>
      <c r="E40" s="32">
        <v>2</v>
      </c>
      <c r="F40" s="32">
        <v>0</v>
      </c>
      <c r="I40" t="str">
        <f>VLOOKUP($I$3,Respuestas!$A$2:$HO$11,VALUE('Ponderación médica'!B40))</f>
        <v>A veces</v>
      </c>
      <c r="J40">
        <f t="shared" si="1"/>
        <v>2</v>
      </c>
      <c r="L40">
        <f t="shared" si="2"/>
        <v>0</v>
      </c>
      <c r="M40">
        <f t="shared" si="3"/>
        <v>3</v>
      </c>
    </row>
    <row r="41" spans="1:20" ht="14.25" customHeight="1" x14ac:dyDescent="0.25">
      <c r="A41">
        <v>115</v>
      </c>
      <c r="B41">
        <v>153</v>
      </c>
      <c r="C41" s="32">
        <v>4</v>
      </c>
      <c r="D41" s="32">
        <v>4</v>
      </c>
      <c r="E41" s="32">
        <v>2</v>
      </c>
      <c r="F41" s="32">
        <v>0</v>
      </c>
      <c r="I41" t="str">
        <f>VLOOKUP($I$3,Respuestas!$A$2:$HO$11,VALUE('Ponderación médica'!B41))</f>
        <v>A veces</v>
      </c>
      <c r="J41">
        <f t="shared" si="1"/>
        <v>2</v>
      </c>
      <c r="L41">
        <f t="shared" si="2"/>
        <v>0</v>
      </c>
      <c r="M41">
        <f t="shared" si="3"/>
        <v>4</v>
      </c>
    </row>
    <row r="42" spans="1:20" ht="14.25" customHeight="1" x14ac:dyDescent="0.25">
      <c r="A42">
        <v>115</v>
      </c>
      <c r="B42">
        <v>154</v>
      </c>
      <c r="C42" s="32">
        <v>5</v>
      </c>
      <c r="D42" s="32">
        <v>5</v>
      </c>
      <c r="E42" s="32">
        <v>3</v>
      </c>
      <c r="F42" s="32">
        <v>0</v>
      </c>
      <c r="I42" t="str">
        <f>VLOOKUP($I$3,Respuestas!$A$2:$HO$11,VALUE('Ponderación médica'!B42))</f>
        <v>A veces</v>
      </c>
      <c r="J42">
        <f t="shared" si="1"/>
        <v>3</v>
      </c>
      <c r="L42">
        <f t="shared" si="2"/>
        <v>0</v>
      </c>
      <c r="M42">
        <f t="shared" si="3"/>
        <v>5</v>
      </c>
    </row>
    <row r="43" spans="1:20" ht="14.25" customHeight="1" x14ac:dyDescent="0.25">
      <c r="A43">
        <v>115</v>
      </c>
      <c r="B43">
        <v>155</v>
      </c>
      <c r="C43" s="32">
        <v>6</v>
      </c>
      <c r="D43" s="32">
        <v>6</v>
      </c>
      <c r="E43" s="32">
        <v>4</v>
      </c>
      <c r="F43" s="32">
        <v>0</v>
      </c>
      <c r="I43" t="str">
        <f>VLOOKUP($I$3,Respuestas!$A$2:$HO$11,VALUE('Ponderación médica'!B43))</f>
        <v>Nunca</v>
      </c>
      <c r="J43">
        <f t="shared" si="1"/>
        <v>0</v>
      </c>
      <c r="L43">
        <f t="shared" si="2"/>
        <v>0</v>
      </c>
      <c r="M43">
        <f t="shared" si="3"/>
        <v>6</v>
      </c>
    </row>
    <row r="44" spans="1:20" ht="14.25" customHeight="1" x14ac:dyDescent="0.25">
      <c r="A44" s="36">
        <v>116</v>
      </c>
      <c r="B44" s="36">
        <v>156</v>
      </c>
      <c r="C44" s="37">
        <v>3</v>
      </c>
      <c r="D44" s="37">
        <v>0</v>
      </c>
      <c r="E44" s="37">
        <v>1</v>
      </c>
      <c r="F44" s="37">
        <v>0</v>
      </c>
      <c r="G44" s="36"/>
      <c r="H44" s="36"/>
      <c r="I44" s="36" t="str">
        <f>VLOOKUP($I$3,Respuestas!$A$2:$HO$11,VALUE('Ponderación médica'!B44))</f>
        <v>Si</v>
      </c>
      <c r="J44" s="36">
        <f>IF(I44=O44,C44,IF(I44=P44,D44,IF(Q44=I44,E44,F44)))</f>
        <v>3</v>
      </c>
      <c r="K44" s="36"/>
      <c r="L44" s="36"/>
      <c r="M44" s="36"/>
      <c r="N44" s="36"/>
      <c r="O44" s="36" t="s">
        <v>268</v>
      </c>
      <c r="P44" s="36" t="s">
        <v>256</v>
      </c>
      <c r="Q44" s="36" t="s">
        <v>277</v>
      </c>
      <c r="R44" s="36" t="s">
        <v>255</v>
      </c>
      <c r="S44" s="36"/>
      <c r="T44" s="36"/>
    </row>
    <row r="45" spans="1:20" ht="14.25" customHeight="1" x14ac:dyDescent="0.25">
      <c r="A45">
        <v>117</v>
      </c>
      <c r="B45">
        <v>157</v>
      </c>
      <c r="C45" s="32">
        <v>0</v>
      </c>
      <c r="D45" s="32">
        <v>1</v>
      </c>
      <c r="E45" s="32">
        <v>2</v>
      </c>
      <c r="F45" s="32">
        <v>3</v>
      </c>
      <c r="G45" s="38">
        <v>4</v>
      </c>
      <c r="H45" s="39"/>
      <c r="I45" t="str">
        <f>VLOOKUP($I$3,Respuestas!$A$2:$HO$11,VALUE('Ponderación médica'!B45))</f>
        <v>Ocasionalmente (algunas veces al mes)</v>
      </c>
      <c r="J45">
        <f t="shared" ref="J45:J93" si="4">IF(I45=O45,C45,IF(I45=P45,D45,IF(Q45=I45,E45,IF(I45=R45,F45,G45))))</f>
        <v>2</v>
      </c>
      <c r="O45" t="s">
        <v>255</v>
      </c>
      <c r="P45" t="s">
        <v>278</v>
      </c>
      <c r="Q45" t="s">
        <v>315</v>
      </c>
      <c r="R45" t="s">
        <v>279</v>
      </c>
      <c r="S45" t="s">
        <v>274</v>
      </c>
    </row>
    <row r="46" spans="1:20" ht="14.25" customHeight="1" x14ac:dyDescent="0.25">
      <c r="A46">
        <v>118</v>
      </c>
      <c r="B46">
        <v>158</v>
      </c>
      <c r="C46" s="40">
        <v>3</v>
      </c>
      <c r="D46" s="40">
        <v>0</v>
      </c>
      <c r="E46" s="40">
        <v>1</v>
      </c>
      <c r="I46" t="str">
        <f>VLOOKUP($I$3,Respuestas!$A$2:$HO$11,VALUE('Ponderación médica'!B46))</f>
        <v>No</v>
      </c>
      <c r="J46">
        <f t="shared" si="4"/>
        <v>0</v>
      </c>
      <c r="O46" t="s">
        <v>268</v>
      </c>
      <c r="P46" t="s">
        <v>256</v>
      </c>
      <c r="Q46" t="s">
        <v>277</v>
      </c>
    </row>
    <row r="47" spans="1:20" ht="14.25" customHeight="1" x14ac:dyDescent="0.25">
      <c r="A47">
        <v>119</v>
      </c>
      <c r="B47">
        <v>159</v>
      </c>
      <c r="C47" s="32">
        <v>0</v>
      </c>
      <c r="D47" s="32">
        <v>1</v>
      </c>
      <c r="E47" s="32">
        <v>2</v>
      </c>
      <c r="F47" s="41">
        <v>3</v>
      </c>
      <c r="G47" s="38">
        <v>4</v>
      </c>
      <c r="H47" s="39"/>
      <c r="I47" t="str">
        <f>VLOOKUP($I$3,Respuestas!$A$2:$HO$11,VALUE('Ponderación médica'!B47))</f>
        <v>Nunca</v>
      </c>
      <c r="J47">
        <f t="shared" si="4"/>
        <v>0</v>
      </c>
      <c r="O47" t="s">
        <v>255</v>
      </c>
      <c r="P47" t="s">
        <v>278</v>
      </c>
      <c r="Q47" t="s">
        <v>315</v>
      </c>
      <c r="R47" t="s">
        <v>279</v>
      </c>
      <c r="S47" t="s">
        <v>274</v>
      </c>
    </row>
    <row r="48" spans="1:20" ht="14.25" customHeight="1" x14ac:dyDescent="0.25">
      <c r="A48">
        <v>120</v>
      </c>
      <c r="B48">
        <v>160</v>
      </c>
      <c r="C48" s="40">
        <v>2</v>
      </c>
      <c r="D48" s="40">
        <v>0</v>
      </c>
      <c r="I48" t="str">
        <f>VLOOKUP($I$3,Respuestas!$A$2:$HO$11,VALUE('Ponderación médica'!B48))</f>
        <v>Si</v>
      </c>
      <c r="J48">
        <f t="shared" si="4"/>
        <v>2</v>
      </c>
      <c r="O48" t="s">
        <v>268</v>
      </c>
      <c r="P48" t="s">
        <v>256</v>
      </c>
    </row>
    <row r="49" spans="1:19" ht="14.25" customHeight="1" x14ac:dyDescent="0.25">
      <c r="A49">
        <v>121</v>
      </c>
      <c r="B49">
        <v>161</v>
      </c>
      <c r="C49" s="32">
        <v>3</v>
      </c>
      <c r="D49" s="32">
        <v>0</v>
      </c>
      <c r="E49" s="32">
        <v>1</v>
      </c>
      <c r="F49" s="32">
        <v>0</v>
      </c>
      <c r="I49" t="str">
        <f>VLOOKUP($I$3,Respuestas!$A$2:$HO$11,VALUE('Ponderación médica'!B49))</f>
        <v>A veces</v>
      </c>
      <c r="J49">
        <f t="shared" si="4"/>
        <v>1</v>
      </c>
      <c r="O49" t="s">
        <v>268</v>
      </c>
      <c r="P49" t="s">
        <v>256</v>
      </c>
      <c r="Q49" t="s">
        <v>277</v>
      </c>
      <c r="R49" t="s">
        <v>255</v>
      </c>
    </row>
    <row r="50" spans="1:19" ht="14.25" customHeight="1" x14ac:dyDescent="0.25">
      <c r="A50">
        <v>122</v>
      </c>
      <c r="B50">
        <v>162</v>
      </c>
      <c r="C50" s="32">
        <v>0</v>
      </c>
      <c r="D50" s="32">
        <v>1</v>
      </c>
      <c r="E50" s="32">
        <v>3</v>
      </c>
      <c r="F50" s="32">
        <v>4</v>
      </c>
      <c r="I50" t="str">
        <f>VLOOKUP($I$3,Respuestas!$A$2:$HO$11,VALUE('Ponderación médica'!B50))</f>
        <v>Rara vez (una vez al mes o menos)</v>
      </c>
      <c r="J50">
        <f t="shared" si="4"/>
        <v>1</v>
      </c>
      <c r="O50" t="s">
        <v>255</v>
      </c>
      <c r="P50" t="s">
        <v>278</v>
      </c>
      <c r="Q50" t="s">
        <v>279</v>
      </c>
      <c r="R50" t="s">
        <v>274</v>
      </c>
    </row>
    <row r="51" spans="1:19" ht="14.25" customHeight="1" x14ac:dyDescent="0.25">
      <c r="A51">
        <v>123</v>
      </c>
      <c r="B51">
        <v>163</v>
      </c>
      <c r="C51" s="32">
        <v>3</v>
      </c>
      <c r="D51" s="32">
        <v>0</v>
      </c>
      <c r="E51" s="32">
        <v>1</v>
      </c>
      <c r="F51" s="32">
        <v>0</v>
      </c>
      <c r="I51" t="str">
        <f>VLOOKUP($I$3,Respuestas!$A$2:$HO$11,VALUE('Ponderación médica'!B51))</f>
        <v>No</v>
      </c>
      <c r="J51">
        <f t="shared" si="4"/>
        <v>0</v>
      </c>
      <c r="O51" t="s">
        <v>268</v>
      </c>
      <c r="P51" t="s">
        <v>256</v>
      </c>
      <c r="Q51" t="s">
        <v>277</v>
      </c>
      <c r="R51" t="s">
        <v>255</v>
      </c>
    </row>
    <row r="52" spans="1:19" ht="14.25" customHeight="1" x14ac:dyDescent="0.25">
      <c r="A52">
        <v>124</v>
      </c>
      <c r="B52">
        <v>164</v>
      </c>
      <c r="C52" s="32">
        <v>0</v>
      </c>
      <c r="D52" s="32">
        <v>1</v>
      </c>
      <c r="E52" s="41">
        <v>2</v>
      </c>
      <c r="F52" s="41">
        <v>3</v>
      </c>
      <c r="G52" s="38">
        <v>4</v>
      </c>
      <c r="H52" s="39"/>
      <c r="I52" t="str">
        <f>VLOOKUP($I$3,Respuestas!$A$2:$HO$11,VALUE('Ponderación médica'!B52))</f>
        <v>Nunca</v>
      </c>
      <c r="J52">
        <f t="shared" si="4"/>
        <v>0</v>
      </c>
      <c r="O52" t="s">
        <v>255</v>
      </c>
      <c r="P52" t="s">
        <v>278</v>
      </c>
      <c r="Q52" t="s">
        <v>315</v>
      </c>
      <c r="R52" t="s">
        <v>279</v>
      </c>
      <c r="S52" t="s">
        <v>274</v>
      </c>
    </row>
    <row r="53" spans="1:19" ht="14.25" customHeight="1" x14ac:dyDescent="0.25">
      <c r="A53">
        <v>125</v>
      </c>
      <c r="B53">
        <v>165</v>
      </c>
      <c r="C53" s="40">
        <v>2</v>
      </c>
      <c r="D53" s="40">
        <v>0</v>
      </c>
      <c r="I53" t="str">
        <f>VLOOKUP($I$3,Respuestas!$A$2:$HO$11,VALUE('Ponderación médica'!B53))</f>
        <v>Si</v>
      </c>
      <c r="J53">
        <f t="shared" si="4"/>
        <v>2</v>
      </c>
      <c r="O53" t="s">
        <v>268</v>
      </c>
      <c r="P53" t="s">
        <v>256</v>
      </c>
    </row>
    <row r="54" spans="1:19" ht="14.25" customHeight="1" x14ac:dyDescent="0.25">
      <c r="A54">
        <v>126</v>
      </c>
      <c r="B54">
        <v>166</v>
      </c>
      <c r="C54" s="32">
        <v>3</v>
      </c>
      <c r="D54" s="32">
        <v>0</v>
      </c>
      <c r="E54" s="32">
        <v>1</v>
      </c>
      <c r="F54" s="32">
        <v>0</v>
      </c>
      <c r="I54" t="str">
        <f>VLOOKUP($I$3,Respuestas!$A$2:$HO$11,VALUE('Ponderación médica'!B54))</f>
        <v>Sí</v>
      </c>
      <c r="J54">
        <f t="shared" si="4"/>
        <v>0</v>
      </c>
      <c r="O54" t="s">
        <v>268</v>
      </c>
      <c r="P54" t="s">
        <v>256</v>
      </c>
      <c r="Q54" t="s">
        <v>277</v>
      </c>
      <c r="R54" t="s">
        <v>255</v>
      </c>
    </row>
    <row r="55" spans="1:19" ht="14.25" customHeight="1" x14ac:dyDescent="0.25">
      <c r="A55">
        <v>127</v>
      </c>
      <c r="B55">
        <v>167</v>
      </c>
      <c r="C55" s="32">
        <v>0</v>
      </c>
      <c r="D55" s="32">
        <v>1</v>
      </c>
      <c r="E55" s="32">
        <v>3</v>
      </c>
      <c r="F55" s="32">
        <v>4</v>
      </c>
      <c r="I55" t="str">
        <f>VLOOKUP($I$3,Respuestas!$A$2:$HO$11,VALUE('Ponderación médica'!B55))</f>
        <v>Regularmente (algunas veces a la semana)</v>
      </c>
      <c r="J55">
        <f t="shared" si="4"/>
        <v>3</v>
      </c>
      <c r="O55" t="s">
        <v>255</v>
      </c>
      <c r="P55" t="s">
        <v>278</v>
      </c>
      <c r="Q55" t="s">
        <v>279</v>
      </c>
      <c r="R55" t="s">
        <v>274</v>
      </c>
    </row>
    <row r="56" spans="1:19" ht="14.25" customHeight="1" x14ac:dyDescent="0.25">
      <c r="A56">
        <v>128</v>
      </c>
      <c r="B56">
        <v>168</v>
      </c>
      <c r="C56" s="40">
        <v>2</v>
      </c>
      <c r="D56" s="40">
        <v>0</v>
      </c>
      <c r="I56" t="str">
        <f>VLOOKUP($I$3,Respuestas!$A$2:$HO$11,VALUE('Ponderación médica'!B56))</f>
        <v>A veces</v>
      </c>
      <c r="J56">
        <f t="shared" si="4"/>
        <v>0</v>
      </c>
      <c r="O56" t="s">
        <v>268</v>
      </c>
      <c r="P56" t="s">
        <v>256</v>
      </c>
      <c r="Q56" t="s">
        <v>277</v>
      </c>
      <c r="R56" t="s">
        <v>255</v>
      </c>
    </row>
    <row r="57" spans="1:19" ht="14.25" customHeight="1" x14ac:dyDescent="0.25">
      <c r="A57">
        <v>129</v>
      </c>
      <c r="B57">
        <v>169</v>
      </c>
      <c r="C57" s="32">
        <v>0</v>
      </c>
      <c r="D57" s="32">
        <v>1</v>
      </c>
      <c r="E57" s="32">
        <v>3</v>
      </c>
      <c r="F57" s="32">
        <v>4</v>
      </c>
      <c r="I57" t="str">
        <f>VLOOKUP($I$3,Respuestas!$A$2:$HO$11,VALUE('Ponderación médica'!B57))</f>
        <v>Rara vez (una vez al mes o menos)</v>
      </c>
      <c r="J57">
        <f t="shared" si="4"/>
        <v>1</v>
      </c>
      <c r="O57" t="s">
        <v>255</v>
      </c>
      <c r="P57" t="s">
        <v>278</v>
      </c>
      <c r="Q57" t="s">
        <v>279</v>
      </c>
      <c r="R57" t="s">
        <v>274</v>
      </c>
    </row>
    <row r="58" spans="1:19" ht="14.25" customHeight="1" x14ac:dyDescent="0.25">
      <c r="A58">
        <v>130</v>
      </c>
      <c r="B58">
        <v>170</v>
      </c>
      <c r="C58" s="40">
        <v>2</v>
      </c>
      <c r="D58" s="40">
        <v>0</v>
      </c>
      <c r="I58" t="str">
        <f>VLOOKUP($I$3,Respuestas!$A$2:$HO$11,VALUE('Ponderación médica'!B58))</f>
        <v>Si</v>
      </c>
      <c r="J58">
        <f t="shared" si="4"/>
        <v>2</v>
      </c>
      <c r="O58" t="s">
        <v>268</v>
      </c>
      <c r="P58" t="s">
        <v>256</v>
      </c>
    </row>
    <row r="59" spans="1:19" ht="14.25" customHeight="1" x14ac:dyDescent="0.25">
      <c r="A59">
        <v>131</v>
      </c>
      <c r="B59">
        <v>171</v>
      </c>
      <c r="C59" s="32">
        <v>3</v>
      </c>
      <c r="D59" s="32">
        <v>0</v>
      </c>
      <c r="E59" s="32">
        <v>1</v>
      </c>
      <c r="F59" s="32">
        <v>0</v>
      </c>
      <c r="I59" t="str">
        <f>VLOOKUP($I$3,Respuestas!$A$2:$HO$11,VALUE('Ponderación médica'!B59))</f>
        <v>A veces</v>
      </c>
      <c r="J59">
        <f t="shared" si="4"/>
        <v>1</v>
      </c>
      <c r="O59" t="s">
        <v>268</v>
      </c>
      <c r="P59" t="s">
        <v>256</v>
      </c>
      <c r="Q59" t="s">
        <v>277</v>
      </c>
      <c r="R59" t="s">
        <v>255</v>
      </c>
    </row>
    <row r="60" spans="1:19" ht="14.25" customHeight="1" x14ac:dyDescent="0.25">
      <c r="A60">
        <v>132</v>
      </c>
      <c r="B60">
        <v>172</v>
      </c>
      <c r="C60" s="32">
        <v>0</v>
      </c>
      <c r="D60" s="32">
        <v>3</v>
      </c>
      <c r="E60" s="32">
        <v>4</v>
      </c>
      <c r="F60" s="39"/>
      <c r="I60" t="str">
        <f>VLOOKUP($I$3,Respuestas!$A$2:$HO$11,VALUE('Ponderación médica'!B60))</f>
        <v>Regularmente (algunas veces a la semana)</v>
      </c>
      <c r="J60">
        <f t="shared" si="4"/>
        <v>3</v>
      </c>
      <c r="O60" t="s">
        <v>255</v>
      </c>
      <c r="P60" t="s">
        <v>279</v>
      </c>
      <c r="Q60" t="s">
        <v>274</v>
      </c>
    </row>
    <row r="61" spans="1:19" ht="14.25" customHeight="1" x14ac:dyDescent="0.25">
      <c r="A61">
        <v>133</v>
      </c>
      <c r="B61">
        <v>173</v>
      </c>
      <c r="C61" s="40">
        <v>3</v>
      </c>
      <c r="D61" s="40">
        <v>0</v>
      </c>
      <c r="E61" s="40">
        <v>1</v>
      </c>
      <c r="I61" t="str">
        <f>VLOOKUP($I$3,Respuestas!$A$2:$HO$11,VALUE('Ponderación médica'!B61))</f>
        <v>No</v>
      </c>
      <c r="J61">
        <f t="shared" si="4"/>
        <v>0</v>
      </c>
      <c r="O61" t="s">
        <v>268</v>
      </c>
      <c r="P61" t="s">
        <v>256</v>
      </c>
      <c r="Q61" t="s">
        <v>277</v>
      </c>
    </row>
    <row r="62" spans="1:19" ht="14.25" customHeight="1" x14ac:dyDescent="0.25">
      <c r="A62">
        <v>134</v>
      </c>
      <c r="B62">
        <v>174</v>
      </c>
      <c r="C62" s="32">
        <v>0</v>
      </c>
      <c r="D62" s="32">
        <v>1</v>
      </c>
      <c r="E62" s="32">
        <v>3</v>
      </c>
      <c r="F62" s="32">
        <v>4</v>
      </c>
      <c r="I62" t="str">
        <f>VLOOKUP($I$3,Respuestas!$A$2:$HO$11,VALUE('Ponderación médica'!B62))</f>
        <v>Nunca</v>
      </c>
      <c r="J62">
        <f t="shared" si="4"/>
        <v>0</v>
      </c>
      <c r="O62" t="s">
        <v>255</v>
      </c>
      <c r="P62" t="s">
        <v>279</v>
      </c>
      <c r="Q62" t="s">
        <v>274</v>
      </c>
    </row>
    <row r="63" spans="1:19" ht="14.25" customHeight="1" x14ac:dyDescent="0.25">
      <c r="A63">
        <v>135</v>
      </c>
      <c r="B63">
        <v>175</v>
      </c>
      <c r="C63" s="40">
        <v>2</v>
      </c>
      <c r="D63" s="40">
        <v>0</v>
      </c>
      <c r="I63" t="str">
        <f>VLOOKUP($I$3,Respuestas!$A$2:$HO$11,VALUE('Ponderación médica'!B63))</f>
        <v>No</v>
      </c>
      <c r="J63">
        <f t="shared" si="4"/>
        <v>0</v>
      </c>
      <c r="O63" t="s">
        <v>268</v>
      </c>
      <c r="P63" t="s">
        <v>256</v>
      </c>
    </row>
    <row r="64" spans="1:19" ht="14.25" customHeight="1" x14ac:dyDescent="0.25">
      <c r="A64">
        <v>136</v>
      </c>
      <c r="B64">
        <v>176</v>
      </c>
      <c r="C64" s="32">
        <v>1</v>
      </c>
      <c r="D64" s="32">
        <v>2</v>
      </c>
      <c r="E64" s="32">
        <v>3</v>
      </c>
      <c r="F64" s="32">
        <v>4</v>
      </c>
      <c r="G64" s="32">
        <v>0</v>
      </c>
      <c r="H64" s="39"/>
      <c r="I64" t="str">
        <f>VLOOKUP($I$3,Respuestas!$A$2:$HO$11,VALUE('Ponderación médica'!B64))</f>
        <v>Mas de 4 horas</v>
      </c>
      <c r="J64">
        <f t="shared" si="4"/>
        <v>4</v>
      </c>
      <c r="O64" t="s">
        <v>508</v>
      </c>
      <c r="P64" t="s">
        <v>283</v>
      </c>
      <c r="Q64" t="s">
        <v>282</v>
      </c>
      <c r="R64" t="s">
        <v>280</v>
      </c>
      <c r="S64" t="s">
        <v>255</v>
      </c>
    </row>
    <row r="65" spans="1:19" ht="14.25" customHeight="1" x14ac:dyDescent="0.25">
      <c r="A65">
        <v>137</v>
      </c>
      <c r="B65">
        <v>177</v>
      </c>
      <c r="C65" s="32">
        <v>1</v>
      </c>
      <c r="D65" s="32">
        <v>2</v>
      </c>
      <c r="E65" s="32">
        <v>3</v>
      </c>
      <c r="F65" s="32">
        <v>4</v>
      </c>
      <c r="G65" s="32">
        <v>0</v>
      </c>
      <c r="H65" s="39"/>
      <c r="I65" t="str">
        <f>VLOOKUP($I$3,Respuestas!$A$2:$HO$11,VALUE('Ponderación médica'!B65))</f>
        <v>Menos de 30 minutos</v>
      </c>
      <c r="J65">
        <f t="shared" si="4"/>
        <v>0</v>
      </c>
      <c r="O65" t="s">
        <v>508</v>
      </c>
      <c r="P65" t="s">
        <v>283</v>
      </c>
      <c r="Q65" t="s">
        <v>282</v>
      </c>
      <c r="R65" t="s">
        <v>280</v>
      </c>
      <c r="S65" t="s">
        <v>255</v>
      </c>
    </row>
    <row r="66" spans="1:19" ht="14.25" customHeight="1" x14ac:dyDescent="0.25">
      <c r="A66">
        <v>138</v>
      </c>
      <c r="B66">
        <v>178</v>
      </c>
      <c r="C66" s="32">
        <v>1</v>
      </c>
      <c r="D66" s="32">
        <v>2</v>
      </c>
      <c r="E66" s="32">
        <v>3</v>
      </c>
      <c r="F66" s="32">
        <v>4</v>
      </c>
      <c r="G66" s="32">
        <v>0</v>
      </c>
      <c r="H66" s="39"/>
      <c r="I66" t="str">
        <f>VLOOKUP($I$3,Respuestas!$A$2:$HO$11,VALUE('Ponderación médica'!B66))</f>
        <v>Menos de 30 minutos</v>
      </c>
      <c r="J66">
        <f t="shared" si="4"/>
        <v>0</v>
      </c>
      <c r="O66" t="s">
        <v>508</v>
      </c>
      <c r="P66" t="s">
        <v>283</v>
      </c>
      <c r="Q66" t="s">
        <v>282</v>
      </c>
      <c r="R66" t="s">
        <v>280</v>
      </c>
      <c r="S66" t="s">
        <v>255</v>
      </c>
    </row>
    <row r="67" spans="1:19" ht="14.25" customHeight="1" x14ac:dyDescent="0.25">
      <c r="A67">
        <v>139</v>
      </c>
      <c r="B67">
        <v>179</v>
      </c>
      <c r="C67" s="32">
        <v>1</v>
      </c>
      <c r="D67" s="32">
        <v>2</v>
      </c>
      <c r="E67" s="32">
        <v>3</v>
      </c>
      <c r="F67" s="32">
        <v>4</v>
      </c>
      <c r="G67" s="32">
        <v>0</v>
      </c>
      <c r="H67" s="39"/>
      <c r="I67" t="str">
        <f>VLOOKUP($I$3,Respuestas!$A$2:$HO$11,VALUE('Ponderación médica'!B67))</f>
        <v>Nunca</v>
      </c>
      <c r="J67">
        <f t="shared" si="4"/>
        <v>0</v>
      </c>
      <c r="O67" t="s">
        <v>508</v>
      </c>
      <c r="P67" t="s">
        <v>283</v>
      </c>
      <c r="Q67" t="s">
        <v>282</v>
      </c>
      <c r="R67" t="s">
        <v>280</v>
      </c>
      <c r="S67" t="s">
        <v>255</v>
      </c>
    </row>
    <row r="68" spans="1:19" ht="14.25" customHeight="1" x14ac:dyDescent="0.25">
      <c r="A68">
        <v>140</v>
      </c>
      <c r="B68">
        <v>180</v>
      </c>
      <c r="C68" s="32">
        <v>1</v>
      </c>
      <c r="D68" s="32">
        <v>2</v>
      </c>
      <c r="E68" s="32">
        <v>3</v>
      </c>
      <c r="F68" s="32">
        <v>4</v>
      </c>
      <c r="G68" s="32">
        <v>0</v>
      </c>
      <c r="H68" s="39"/>
      <c r="I68" t="str">
        <f>VLOOKUP($I$3,Respuestas!$A$2:$HO$11,VALUE('Ponderación médica'!B68))</f>
        <v>Nunca</v>
      </c>
      <c r="J68">
        <f t="shared" si="4"/>
        <v>0</v>
      </c>
      <c r="O68" t="s">
        <v>508</v>
      </c>
      <c r="P68" t="s">
        <v>283</v>
      </c>
      <c r="Q68" t="s">
        <v>282</v>
      </c>
      <c r="R68" t="s">
        <v>280</v>
      </c>
      <c r="S68" t="s">
        <v>255</v>
      </c>
    </row>
    <row r="69" spans="1:19" ht="14.25" customHeight="1" x14ac:dyDescent="0.25">
      <c r="A69">
        <v>141</v>
      </c>
      <c r="B69">
        <v>181</v>
      </c>
      <c r="C69" s="32">
        <v>1</v>
      </c>
      <c r="D69" s="32">
        <v>2</v>
      </c>
      <c r="E69" s="32">
        <v>3</v>
      </c>
      <c r="F69" s="32">
        <v>4</v>
      </c>
      <c r="G69" s="32">
        <v>0</v>
      </c>
      <c r="H69" s="39"/>
      <c r="I69" t="str">
        <f>VLOOKUP($I$3,Respuestas!$A$2:$HO$11,VALUE('Ponderación médica'!B69))</f>
        <v>Nunca</v>
      </c>
      <c r="J69">
        <f t="shared" si="4"/>
        <v>0</v>
      </c>
      <c r="O69" t="s">
        <v>508</v>
      </c>
      <c r="P69" t="s">
        <v>283</v>
      </c>
      <c r="Q69" t="s">
        <v>282</v>
      </c>
      <c r="R69" t="s">
        <v>280</v>
      </c>
      <c r="S69" t="s">
        <v>255</v>
      </c>
    </row>
    <row r="70" spans="1:19" ht="14.25" customHeight="1" x14ac:dyDescent="0.25">
      <c r="A70">
        <v>142</v>
      </c>
      <c r="B70">
        <v>182</v>
      </c>
      <c r="C70" s="32">
        <v>1</v>
      </c>
      <c r="D70" s="32">
        <v>2</v>
      </c>
      <c r="E70" s="32">
        <v>3</v>
      </c>
      <c r="F70" s="32">
        <v>4</v>
      </c>
      <c r="G70" s="32">
        <v>0</v>
      </c>
      <c r="H70" s="39"/>
      <c r="I70" t="str">
        <f>VLOOKUP($I$3,Respuestas!$A$2:$HO$11,VALUE('Ponderación médica'!B70))</f>
        <v>Entre 30 min y 2 horas</v>
      </c>
      <c r="J70">
        <f t="shared" si="4"/>
        <v>2</v>
      </c>
      <c r="O70" t="s">
        <v>508</v>
      </c>
      <c r="P70" t="s">
        <v>283</v>
      </c>
      <c r="Q70" t="s">
        <v>282</v>
      </c>
      <c r="R70" t="s">
        <v>280</v>
      </c>
      <c r="S70" t="s">
        <v>255</v>
      </c>
    </row>
    <row r="71" spans="1:19" ht="14.25" customHeight="1" x14ac:dyDescent="0.25">
      <c r="A71">
        <v>143</v>
      </c>
      <c r="B71">
        <v>183</v>
      </c>
      <c r="C71" s="32">
        <v>1</v>
      </c>
      <c r="D71" s="32">
        <v>2</v>
      </c>
      <c r="E71" s="32">
        <v>3</v>
      </c>
      <c r="F71" s="32">
        <v>4</v>
      </c>
      <c r="G71" s="32">
        <v>0</v>
      </c>
      <c r="H71" s="39"/>
      <c r="I71" t="str">
        <f>VLOOKUP($I$3,Respuestas!$A$2:$HO$11,VALUE('Ponderación médica'!B71))</f>
        <v>Nunca</v>
      </c>
      <c r="J71">
        <f t="shared" si="4"/>
        <v>0</v>
      </c>
      <c r="O71" t="s">
        <v>508</v>
      </c>
      <c r="P71" t="s">
        <v>283</v>
      </c>
      <c r="Q71" t="s">
        <v>282</v>
      </c>
      <c r="R71" t="s">
        <v>280</v>
      </c>
      <c r="S71" t="s">
        <v>255</v>
      </c>
    </row>
    <row r="72" spans="1:19" ht="14.25" customHeight="1" x14ac:dyDescent="0.25">
      <c r="A72">
        <v>144</v>
      </c>
      <c r="B72">
        <v>184</v>
      </c>
      <c r="C72" s="32">
        <v>1</v>
      </c>
      <c r="D72" s="32">
        <v>2</v>
      </c>
      <c r="E72" s="32">
        <v>3</v>
      </c>
      <c r="F72" s="32">
        <v>4</v>
      </c>
      <c r="G72" s="32">
        <v>0</v>
      </c>
      <c r="H72" s="39"/>
      <c r="I72" t="str">
        <f>VLOOKUP($I$3,Respuestas!$A$2:$HO$11,VALUE('Ponderación médica'!B72))</f>
        <v>Nunca</v>
      </c>
      <c r="J72">
        <f t="shared" si="4"/>
        <v>0</v>
      </c>
      <c r="O72" t="s">
        <v>508</v>
      </c>
      <c r="P72" t="s">
        <v>283</v>
      </c>
      <c r="Q72" t="s">
        <v>282</v>
      </c>
      <c r="R72" t="s">
        <v>280</v>
      </c>
      <c r="S72" t="s">
        <v>255</v>
      </c>
    </row>
    <row r="73" spans="1:19" ht="14.25" customHeight="1" x14ac:dyDescent="0.25">
      <c r="A73">
        <v>145</v>
      </c>
      <c r="B73">
        <v>185</v>
      </c>
      <c r="C73" s="32">
        <v>1</v>
      </c>
      <c r="D73" s="32">
        <v>2</v>
      </c>
      <c r="E73" s="32">
        <v>3</v>
      </c>
      <c r="F73" s="32">
        <v>4</v>
      </c>
      <c r="G73" s="32">
        <v>0</v>
      </c>
      <c r="H73" s="39"/>
      <c r="I73" t="str">
        <f>VLOOKUP($I$3,Respuestas!$A$2:$HO$11,VALUE('Ponderación médica'!B73))</f>
        <v>Nunca</v>
      </c>
      <c r="J73">
        <f t="shared" si="4"/>
        <v>0</v>
      </c>
      <c r="O73" t="s">
        <v>508</v>
      </c>
      <c r="P73" t="s">
        <v>283</v>
      </c>
      <c r="Q73" t="s">
        <v>282</v>
      </c>
      <c r="R73" t="s">
        <v>280</v>
      </c>
      <c r="S73" t="s">
        <v>255</v>
      </c>
    </row>
    <row r="74" spans="1:19" ht="14.25" customHeight="1" x14ac:dyDescent="0.25">
      <c r="A74">
        <v>146</v>
      </c>
      <c r="B74">
        <v>186</v>
      </c>
      <c r="C74" s="32">
        <v>1</v>
      </c>
      <c r="D74" s="32">
        <v>2</v>
      </c>
      <c r="E74" s="32">
        <v>3</v>
      </c>
      <c r="F74" s="32">
        <v>4</v>
      </c>
      <c r="G74" s="32">
        <v>0</v>
      </c>
      <c r="H74" s="39"/>
      <c r="I74" t="str">
        <f>VLOOKUP($I$3,Respuestas!$A$2:$HO$11,VALUE('Ponderación médica'!B74))</f>
        <v>Nunca</v>
      </c>
      <c r="J74">
        <f t="shared" si="4"/>
        <v>0</v>
      </c>
      <c r="O74" t="s">
        <v>508</v>
      </c>
      <c r="P74" t="s">
        <v>283</v>
      </c>
      <c r="Q74" t="s">
        <v>282</v>
      </c>
      <c r="R74" t="s">
        <v>280</v>
      </c>
      <c r="S74" t="s">
        <v>255</v>
      </c>
    </row>
    <row r="75" spans="1:19" ht="14.25" customHeight="1" x14ac:dyDescent="0.25">
      <c r="A75">
        <v>147</v>
      </c>
      <c r="B75">
        <v>187</v>
      </c>
      <c r="C75" s="32">
        <v>1</v>
      </c>
      <c r="D75" s="32">
        <v>2</v>
      </c>
      <c r="E75" s="32">
        <v>3</v>
      </c>
      <c r="F75" s="32">
        <v>4</v>
      </c>
      <c r="G75" s="32">
        <v>0</v>
      </c>
      <c r="H75" s="39"/>
      <c r="I75" t="str">
        <f>VLOOKUP($I$3,Respuestas!$A$2:$HO$11,VALUE('Ponderación médica'!B75))</f>
        <v>Nunca</v>
      </c>
      <c r="J75">
        <f t="shared" si="4"/>
        <v>0</v>
      </c>
      <c r="O75" t="s">
        <v>508</v>
      </c>
      <c r="P75" t="s">
        <v>283</v>
      </c>
      <c r="Q75" t="s">
        <v>282</v>
      </c>
      <c r="R75" t="s">
        <v>280</v>
      </c>
      <c r="S75" t="s">
        <v>255</v>
      </c>
    </row>
    <row r="76" spans="1:19" ht="14.25" customHeight="1" x14ac:dyDescent="0.25">
      <c r="A76">
        <v>148</v>
      </c>
      <c r="B76">
        <v>188</v>
      </c>
      <c r="C76" s="32">
        <v>1</v>
      </c>
      <c r="D76" s="32">
        <v>2</v>
      </c>
      <c r="E76" s="32">
        <v>3</v>
      </c>
      <c r="F76" s="32">
        <v>4</v>
      </c>
      <c r="G76" s="32">
        <v>0</v>
      </c>
      <c r="H76" s="39"/>
      <c r="I76" t="str">
        <f>VLOOKUP($I$3,Respuestas!$A$2:$HO$11,VALUE('Ponderación médica'!B76))</f>
        <v>Nunca</v>
      </c>
      <c r="J76">
        <f t="shared" si="4"/>
        <v>0</v>
      </c>
      <c r="O76" t="s">
        <v>508</v>
      </c>
      <c r="P76" t="s">
        <v>283</v>
      </c>
      <c r="Q76" t="s">
        <v>282</v>
      </c>
      <c r="R76" t="s">
        <v>280</v>
      </c>
      <c r="S76" t="s">
        <v>255</v>
      </c>
    </row>
    <row r="77" spans="1:19" ht="14.25" customHeight="1" x14ac:dyDescent="0.25">
      <c r="A77">
        <v>149</v>
      </c>
      <c r="B77">
        <v>189</v>
      </c>
      <c r="C77" s="32">
        <v>1</v>
      </c>
      <c r="D77" s="32">
        <v>2</v>
      </c>
      <c r="E77" s="32">
        <v>3</v>
      </c>
      <c r="F77" s="32">
        <v>4</v>
      </c>
      <c r="G77" s="32">
        <v>0</v>
      </c>
      <c r="H77" s="39"/>
      <c r="I77" t="str">
        <f>VLOOKUP($I$3,Respuestas!$A$2:$HO$11,VALUE('Ponderación médica'!B77))</f>
        <v>Nunca</v>
      </c>
      <c r="J77">
        <f t="shared" si="4"/>
        <v>0</v>
      </c>
      <c r="O77" t="s">
        <v>508</v>
      </c>
      <c r="P77" t="s">
        <v>283</v>
      </c>
      <c r="Q77" t="s">
        <v>282</v>
      </c>
      <c r="R77" t="s">
        <v>280</v>
      </c>
      <c r="S77" t="s">
        <v>255</v>
      </c>
    </row>
    <row r="78" spans="1:19" ht="14.25" customHeight="1" x14ac:dyDescent="0.25">
      <c r="A78">
        <v>150</v>
      </c>
      <c r="B78">
        <v>190</v>
      </c>
      <c r="C78" s="32">
        <v>1</v>
      </c>
      <c r="D78" s="32">
        <v>2</v>
      </c>
      <c r="E78" s="32">
        <v>3</v>
      </c>
      <c r="F78" s="32">
        <v>4</v>
      </c>
      <c r="G78" s="32">
        <v>0</v>
      </c>
      <c r="H78" s="39"/>
      <c r="I78" t="str">
        <f>VLOOKUP($I$3,Respuestas!$A$2:$HO$11,VALUE('Ponderación médica'!B78))</f>
        <v>Nunca</v>
      </c>
      <c r="J78">
        <f t="shared" si="4"/>
        <v>0</v>
      </c>
      <c r="O78" t="s">
        <v>508</v>
      </c>
      <c r="P78" t="s">
        <v>283</v>
      </c>
      <c r="Q78" t="s">
        <v>282</v>
      </c>
      <c r="R78" t="s">
        <v>280</v>
      </c>
      <c r="S78" t="s">
        <v>255</v>
      </c>
    </row>
    <row r="79" spans="1:19" ht="14.25" customHeight="1" x14ac:dyDescent="0.25">
      <c r="A79">
        <v>151</v>
      </c>
      <c r="B79">
        <v>191</v>
      </c>
      <c r="C79" s="32">
        <v>1</v>
      </c>
      <c r="D79" s="32">
        <v>2</v>
      </c>
      <c r="E79" s="32">
        <v>3</v>
      </c>
      <c r="F79" s="32">
        <v>4</v>
      </c>
      <c r="G79" s="32">
        <v>0</v>
      </c>
      <c r="H79" s="39"/>
      <c r="I79" t="str">
        <f>VLOOKUP($I$3,Respuestas!$A$2:$HO$11,VALUE('Ponderación médica'!B79))</f>
        <v>Nunca</v>
      </c>
      <c r="J79">
        <f t="shared" si="4"/>
        <v>0</v>
      </c>
      <c r="O79" t="s">
        <v>508</v>
      </c>
      <c r="P79" t="s">
        <v>283</v>
      </c>
      <c r="Q79" t="s">
        <v>282</v>
      </c>
      <c r="R79" t="s">
        <v>280</v>
      </c>
      <c r="S79" t="s">
        <v>255</v>
      </c>
    </row>
    <row r="80" spans="1:19" ht="14.25" customHeight="1" x14ac:dyDescent="0.25">
      <c r="A80">
        <v>152</v>
      </c>
      <c r="B80">
        <v>192</v>
      </c>
      <c r="C80" s="32">
        <v>1</v>
      </c>
      <c r="D80" s="32">
        <v>2</v>
      </c>
      <c r="E80" s="32">
        <v>3</v>
      </c>
      <c r="F80" s="32">
        <v>4</v>
      </c>
      <c r="G80" s="32">
        <v>0</v>
      </c>
      <c r="H80" s="39"/>
      <c r="I80" t="str">
        <f>VLOOKUP($I$3,Respuestas!$A$2:$HO$11,VALUE('Ponderación médica'!B80))</f>
        <v>Nunca</v>
      </c>
      <c r="J80">
        <f t="shared" si="4"/>
        <v>0</v>
      </c>
      <c r="O80" t="s">
        <v>508</v>
      </c>
      <c r="P80" t="s">
        <v>283</v>
      </c>
      <c r="Q80" t="s">
        <v>282</v>
      </c>
      <c r="R80" t="s">
        <v>280</v>
      </c>
      <c r="S80" t="s">
        <v>255</v>
      </c>
    </row>
    <row r="81" spans="1:20" ht="14.25" customHeight="1" x14ac:dyDescent="0.25">
      <c r="A81">
        <v>153</v>
      </c>
      <c r="B81">
        <v>193</v>
      </c>
      <c r="C81" s="32">
        <v>1</v>
      </c>
      <c r="D81" s="32">
        <v>2</v>
      </c>
      <c r="E81" s="32">
        <v>3</v>
      </c>
      <c r="F81" s="32">
        <v>4</v>
      </c>
      <c r="G81" s="32">
        <v>0</v>
      </c>
      <c r="H81" s="39"/>
      <c r="I81" t="str">
        <f>VLOOKUP($I$3,Respuestas!$A$2:$HO$11,VALUE('Ponderación médica'!B81))</f>
        <v>Mas de 4 horas</v>
      </c>
      <c r="J81">
        <f t="shared" si="4"/>
        <v>4</v>
      </c>
      <c r="O81" t="s">
        <v>508</v>
      </c>
      <c r="P81" t="s">
        <v>283</v>
      </c>
      <c r="Q81" t="s">
        <v>282</v>
      </c>
      <c r="R81" t="s">
        <v>280</v>
      </c>
      <c r="S81" t="s">
        <v>255</v>
      </c>
    </row>
    <row r="82" spans="1:20" ht="14.25" customHeight="1" x14ac:dyDescent="0.25">
      <c r="A82">
        <v>154</v>
      </c>
      <c r="B82">
        <v>194</v>
      </c>
      <c r="C82" s="32">
        <v>1</v>
      </c>
      <c r="D82" s="32">
        <v>2</v>
      </c>
      <c r="E82" s="32">
        <v>3</v>
      </c>
      <c r="F82" s="32">
        <v>4</v>
      </c>
      <c r="G82" s="32">
        <v>0</v>
      </c>
      <c r="H82" s="39"/>
      <c r="I82" t="str">
        <f>VLOOKUP($I$3,Respuestas!$A$2:$HO$11,VALUE('Ponderación médica'!B82))</f>
        <v>Nunca</v>
      </c>
      <c r="J82">
        <f t="shared" si="4"/>
        <v>0</v>
      </c>
      <c r="O82" t="s">
        <v>508</v>
      </c>
      <c r="P82" t="s">
        <v>283</v>
      </c>
      <c r="Q82" t="s">
        <v>282</v>
      </c>
      <c r="R82" t="s">
        <v>280</v>
      </c>
      <c r="S82" t="s">
        <v>255</v>
      </c>
    </row>
    <row r="83" spans="1:20" ht="14.25" customHeight="1" x14ac:dyDescent="0.25">
      <c r="A83">
        <v>155</v>
      </c>
      <c r="B83">
        <v>195</v>
      </c>
      <c r="C83" s="32">
        <v>1</v>
      </c>
      <c r="D83" s="32">
        <v>2</v>
      </c>
      <c r="E83" s="32">
        <v>3</v>
      </c>
      <c r="F83" s="32">
        <v>4</v>
      </c>
      <c r="G83" s="32">
        <v>0</v>
      </c>
      <c r="H83" s="39"/>
      <c r="I83" t="str">
        <f>VLOOKUP($I$3,Respuestas!$A$2:$HO$11,VALUE('Ponderación médica'!B83))</f>
        <v>Nunca</v>
      </c>
      <c r="J83">
        <f t="shared" si="4"/>
        <v>0</v>
      </c>
      <c r="O83" t="s">
        <v>508</v>
      </c>
      <c r="P83" t="s">
        <v>283</v>
      </c>
      <c r="Q83" t="s">
        <v>282</v>
      </c>
      <c r="R83" t="s">
        <v>280</v>
      </c>
      <c r="S83" t="s">
        <v>255</v>
      </c>
    </row>
    <row r="84" spans="1:20" ht="14.25" customHeight="1" x14ac:dyDescent="0.25">
      <c r="A84">
        <v>156</v>
      </c>
      <c r="B84">
        <v>196</v>
      </c>
      <c r="C84" s="32">
        <v>1</v>
      </c>
      <c r="D84" s="32">
        <v>2</v>
      </c>
      <c r="E84" s="32">
        <v>3</v>
      </c>
      <c r="F84" s="32">
        <v>4</v>
      </c>
      <c r="G84" s="32">
        <v>0</v>
      </c>
      <c r="H84" s="39"/>
      <c r="I84" t="str">
        <f>VLOOKUP($I$3,Respuestas!$A$2:$HO$11,VALUE('Ponderación médica'!B84))</f>
        <v>Nunca</v>
      </c>
      <c r="J84">
        <f t="shared" si="4"/>
        <v>0</v>
      </c>
      <c r="O84" t="s">
        <v>508</v>
      </c>
      <c r="P84" t="s">
        <v>283</v>
      </c>
      <c r="Q84" t="s">
        <v>282</v>
      </c>
      <c r="R84" t="s">
        <v>280</v>
      </c>
      <c r="S84" t="s">
        <v>255</v>
      </c>
    </row>
    <row r="85" spans="1:20" ht="14.25" customHeight="1" x14ac:dyDescent="0.25">
      <c r="A85">
        <v>157</v>
      </c>
      <c r="B85">
        <v>197</v>
      </c>
      <c r="C85" s="32">
        <v>1</v>
      </c>
      <c r="D85" s="32">
        <v>2</v>
      </c>
      <c r="E85" s="32">
        <v>3</v>
      </c>
      <c r="F85" s="32">
        <v>4</v>
      </c>
      <c r="G85" s="32">
        <v>0</v>
      </c>
      <c r="H85" s="39"/>
      <c r="I85" t="str">
        <f>VLOOKUP($I$3,Respuestas!$A$2:$HO$11,VALUE('Ponderación médica'!B85))</f>
        <v>Nunca</v>
      </c>
      <c r="J85">
        <f t="shared" si="4"/>
        <v>0</v>
      </c>
      <c r="O85" t="s">
        <v>508</v>
      </c>
      <c r="P85" t="s">
        <v>283</v>
      </c>
      <c r="Q85" t="s">
        <v>282</v>
      </c>
      <c r="R85" t="s">
        <v>280</v>
      </c>
      <c r="S85" t="s">
        <v>255</v>
      </c>
    </row>
    <row r="86" spans="1:20" ht="14.25" customHeight="1" x14ac:dyDescent="0.25">
      <c r="A86">
        <v>158</v>
      </c>
      <c r="B86">
        <v>198</v>
      </c>
      <c r="C86" s="32">
        <v>1</v>
      </c>
      <c r="D86" s="32">
        <v>2</v>
      </c>
      <c r="E86" s="32">
        <v>3</v>
      </c>
      <c r="F86" s="32">
        <v>4</v>
      </c>
      <c r="G86" s="32">
        <v>0</v>
      </c>
      <c r="H86" s="39"/>
      <c r="I86" t="str">
        <f>VLOOKUP($I$3,Respuestas!$A$2:$HO$11,VALUE('Ponderación médica'!B86))</f>
        <v>Nunca</v>
      </c>
      <c r="J86">
        <f t="shared" si="4"/>
        <v>0</v>
      </c>
      <c r="O86" t="s">
        <v>508</v>
      </c>
      <c r="P86" t="s">
        <v>283</v>
      </c>
      <c r="Q86" t="s">
        <v>282</v>
      </c>
      <c r="R86" t="s">
        <v>280</v>
      </c>
      <c r="S86" t="s">
        <v>255</v>
      </c>
    </row>
    <row r="87" spans="1:20" ht="14.25" customHeight="1" x14ac:dyDescent="0.25">
      <c r="A87">
        <v>159</v>
      </c>
      <c r="B87">
        <v>199</v>
      </c>
      <c r="C87" s="32">
        <v>1</v>
      </c>
      <c r="D87" s="32">
        <v>2</v>
      </c>
      <c r="E87" s="32">
        <v>3</v>
      </c>
      <c r="F87" s="32">
        <v>4</v>
      </c>
      <c r="G87" s="32">
        <v>0</v>
      </c>
      <c r="H87" s="39"/>
      <c r="I87" t="str">
        <f>VLOOKUP($I$3,Respuestas!$A$2:$HO$11,VALUE('Ponderación médica'!B87))</f>
        <v>No levanto peso</v>
      </c>
      <c r="J87">
        <f t="shared" si="4"/>
        <v>0</v>
      </c>
      <c r="O87" t="s">
        <v>509</v>
      </c>
      <c r="P87" t="s">
        <v>510</v>
      </c>
      <c r="Q87" t="s">
        <v>511</v>
      </c>
      <c r="R87" t="s">
        <v>284</v>
      </c>
      <c r="S87" t="s">
        <v>324</v>
      </c>
    </row>
    <row r="88" spans="1:20" ht="14.25" customHeight="1" x14ac:dyDescent="0.25">
      <c r="A88">
        <v>160</v>
      </c>
      <c r="B88">
        <v>200</v>
      </c>
      <c r="C88" s="40">
        <v>5</v>
      </c>
      <c r="D88" s="40">
        <v>2</v>
      </c>
      <c r="E88" s="40">
        <v>3</v>
      </c>
      <c r="F88" s="40">
        <v>4</v>
      </c>
      <c r="I88" t="str">
        <f>VLOOKUP($I$3,Respuestas!$A$2:$HO$11,VALUE('Ponderación médica'!B88))</f>
        <v>No levanto peso</v>
      </c>
      <c r="J88">
        <f t="shared" si="4"/>
        <v>0</v>
      </c>
      <c r="O88" t="s">
        <v>285</v>
      </c>
      <c r="P88" t="s">
        <v>512</v>
      </c>
      <c r="Q88" t="s">
        <v>513</v>
      </c>
      <c r="R88" t="s">
        <v>514</v>
      </c>
    </row>
    <row r="89" spans="1:20" ht="14.25" customHeight="1" x14ac:dyDescent="0.25">
      <c r="A89">
        <v>161</v>
      </c>
      <c r="B89">
        <v>201</v>
      </c>
      <c r="C89" s="32">
        <v>1</v>
      </c>
      <c r="D89" s="32">
        <v>2</v>
      </c>
      <c r="E89" s="32">
        <v>3</v>
      </c>
      <c r="F89" s="32">
        <v>4</v>
      </c>
      <c r="G89" s="32">
        <v>0</v>
      </c>
      <c r="H89" s="39"/>
      <c r="I89" t="str">
        <f>VLOOKUP($I$3,Respuestas!$A$2:$HO$11,VALUE('Ponderación médica'!B89))</f>
        <v>Nunca</v>
      </c>
      <c r="J89">
        <f t="shared" si="4"/>
        <v>0</v>
      </c>
      <c r="O89" t="s">
        <v>508</v>
      </c>
      <c r="P89" t="s">
        <v>283</v>
      </c>
      <c r="Q89" t="s">
        <v>282</v>
      </c>
      <c r="R89" t="s">
        <v>280</v>
      </c>
      <c r="S89" t="s">
        <v>255</v>
      </c>
    </row>
    <row r="90" spans="1:20" ht="14.25" customHeight="1" x14ac:dyDescent="0.25">
      <c r="A90">
        <v>162</v>
      </c>
      <c r="B90">
        <v>202</v>
      </c>
      <c r="C90" s="32">
        <v>1</v>
      </c>
      <c r="D90" s="32">
        <v>2</v>
      </c>
      <c r="E90" s="32">
        <v>3</v>
      </c>
      <c r="F90" s="32">
        <v>4</v>
      </c>
      <c r="G90" s="32">
        <v>0</v>
      </c>
      <c r="H90" s="39"/>
      <c r="I90" t="str">
        <f>VLOOKUP($I$3,Respuestas!$A$2:$HO$11,VALUE('Ponderación médica'!B90))</f>
        <v>No levanto peso</v>
      </c>
      <c r="J90">
        <f t="shared" si="4"/>
        <v>0</v>
      </c>
      <c r="O90" t="s">
        <v>509</v>
      </c>
      <c r="P90" t="s">
        <v>510</v>
      </c>
      <c r="Q90" t="s">
        <v>511</v>
      </c>
      <c r="R90" t="s">
        <v>284</v>
      </c>
      <c r="S90" t="s">
        <v>324</v>
      </c>
    </row>
    <row r="91" spans="1:20" ht="14.25" customHeight="1" x14ac:dyDescent="0.25">
      <c r="A91">
        <v>163</v>
      </c>
      <c r="B91">
        <v>203</v>
      </c>
      <c r="C91" s="32">
        <v>5</v>
      </c>
      <c r="D91" s="32">
        <v>3</v>
      </c>
      <c r="E91" s="32">
        <v>2</v>
      </c>
      <c r="F91" s="32">
        <v>4</v>
      </c>
      <c r="G91" s="32">
        <v>1</v>
      </c>
      <c r="H91" s="32">
        <v>0</v>
      </c>
      <c r="I91" t="str">
        <f>VLOOKUP($I$3,Respuestas!$A$2:$HO$11,VALUE('Ponderación médica'!B91))</f>
        <v>No levanto peso</v>
      </c>
      <c r="J91">
        <f t="shared" si="4"/>
        <v>1</v>
      </c>
      <c r="O91" t="s">
        <v>286</v>
      </c>
      <c r="P91" t="s">
        <v>515</v>
      </c>
      <c r="Q91" t="s">
        <v>516</v>
      </c>
      <c r="R91" t="s">
        <v>517</v>
      </c>
      <c r="S91" t="s">
        <v>405</v>
      </c>
      <c r="T91" t="s">
        <v>324</v>
      </c>
    </row>
    <row r="92" spans="1:20" ht="14.25" customHeight="1" x14ac:dyDescent="0.25">
      <c r="A92">
        <v>164</v>
      </c>
      <c r="B92">
        <v>204</v>
      </c>
      <c r="C92" s="32">
        <v>1</v>
      </c>
      <c r="D92" s="32">
        <v>2</v>
      </c>
      <c r="E92" s="32">
        <v>3</v>
      </c>
      <c r="F92" s="32">
        <v>4</v>
      </c>
      <c r="G92" s="32">
        <v>0</v>
      </c>
      <c r="I92" t="str">
        <f>VLOOKUP($I$3,Respuestas!$A$2:$HO$11,VALUE('Ponderación médica'!B92))</f>
        <v>Nunca</v>
      </c>
      <c r="J92">
        <f t="shared" si="4"/>
        <v>0</v>
      </c>
      <c r="O92" t="s">
        <v>508</v>
      </c>
      <c r="P92" t="s">
        <v>283</v>
      </c>
      <c r="Q92" t="s">
        <v>282</v>
      </c>
      <c r="R92" t="s">
        <v>280</v>
      </c>
      <c r="S92" t="s">
        <v>255</v>
      </c>
    </row>
    <row r="93" spans="1:20" ht="14.25" customHeight="1" x14ac:dyDescent="0.25">
      <c r="A93">
        <v>165</v>
      </c>
      <c r="B93">
        <v>205</v>
      </c>
      <c r="C93" s="32">
        <v>4</v>
      </c>
      <c r="D93" s="32">
        <v>3</v>
      </c>
      <c r="E93" s="32">
        <v>2</v>
      </c>
      <c r="F93" s="32">
        <v>1</v>
      </c>
      <c r="G93" s="32">
        <v>0</v>
      </c>
      <c r="I93" t="str">
        <f>VLOOKUP($I$3,Respuestas!$A$2:$HO$11,VALUE('Ponderación médica'!B93))</f>
        <v>No empujo</v>
      </c>
      <c r="J93">
        <f t="shared" si="4"/>
        <v>0</v>
      </c>
      <c r="O93" t="s">
        <v>287</v>
      </c>
      <c r="P93" t="s">
        <v>518</v>
      </c>
      <c r="Q93" t="s">
        <v>519</v>
      </c>
      <c r="R93" t="s">
        <v>406</v>
      </c>
      <c r="S93" t="s">
        <v>325</v>
      </c>
    </row>
    <row r="94" spans="1:20" ht="14.25" customHeight="1" x14ac:dyDescent="0.25"/>
    <row r="95" spans="1:20" ht="14.25" customHeight="1" x14ac:dyDescent="0.25"/>
    <row r="96" spans="1:20" ht="14.25" customHeight="1" x14ac:dyDescent="0.25"/>
    <row r="97" ht="14.25" customHeight="1" x14ac:dyDescent="0.25"/>
    <row r="98" ht="14.25" customHeight="1" x14ac:dyDescent="0.25"/>
    <row r="99" ht="14.25" customHeight="1" x14ac:dyDescent="0.25"/>
    <row r="100" ht="14.25" customHeight="1" x14ac:dyDescent="0.25"/>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00"/>
  <sheetViews>
    <sheetView showGridLines="0" tabSelected="1" topLeftCell="A34" zoomScale="85" zoomScaleNormal="85" workbookViewId="0">
      <selection activeCell="B2" sqref="B2"/>
    </sheetView>
  </sheetViews>
  <sheetFormatPr baseColWidth="10" defaultColWidth="14.42578125" defaultRowHeight="15" customHeight="1" x14ac:dyDescent="0.25"/>
  <cols>
    <col min="1" max="1" width="15.5703125" customWidth="1"/>
    <col min="2" max="4" width="10.5703125" customWidth="1"/>
    <col min="5" max="5" width="15.28515625" customWidth="1"/>
    <col min="6" max="7" width="10.7109375" customWidth="1"/>
    <col min="8" max="8" width="28" customWidth="1"/>
    <col min="9" max="13" width="11.5703125" hidden="1" customWidth="1"/>
  </cols>
  <sheetData>
    <row r="1" spans="1:8" ht="14.25" customHeight="1" x14ac:dyDescent="0.25">
      <c r="A1" t="s">
        <v>520</v>
      </c>
      <c r="B1" s="42">
        <v>4</v>
      </c>
    </row>
    <row r="2" spans="1:8" ht="14.25" customHeight="1" x14ac:dyDescent="0.25"/>
    <row r="3" spans="1:8" ht="14.25" customHeight="1" x14ac:dyDescent="0.25"/>
    <row r="4" spans="1:8" ht="14.25" customHeight="1" x14ac:dyDescent="0.25"/>
    <row r="5" spans="1:8" ht="14.25" customHeight="1" x14ac:dyDescent="0.25"/>
    <row r="6" spans="1:8" ht="14.25" customHeight="1" x14ac:dyDescent="0.25"/>
    <row r="7" spans="1:8" ht="14.25" customHeight="1" x14ac:dyDescent="0.25"/>
    <row r="8" spans="1:8" ht="14.25" customHeight="1" x14ac:dyDescent="0.25"/>
    <row r="9" spans="1:8" ht="14.25" customHeight="1" x14ac:dyDescent="0.25">
      <c r="H9" s="43">
        <f ca="1">TODAY()</f>
        <v>45930</v>
      </c>
    </row>
    <row r="10" spans="1:8" ht="14.25" customHeight="1" x14ac:dyDescent="0.25">
      <c r="H10" s="43"/>
    </row>
    <row r="11" spans="1:8" ht="14.25" customHeight="1" x14ac:dyDescent="0.25">
      <c r="G11" s="44" t="s">
        <v>521</v>
      </c>
      <c r="H11" s="43">
        <f>VLOOKUP(B1,Respuestas!A2:HO600,2,0)</f>
        <v>45846.483472222222</v>
      </c>
    </row>
    <row r="12" spans="1:8" ht="14.25" customHeight="1" x14ac:dyDescent="0.25">
      <c r="F12" s="44"/>
      <c r="G12" s="44"/>
      <c r="H12" s="43"/>
    </row>
    <row r="13" spans="1:8" ht="14.25" customHeight="1" x14ac:dyDescent="0.25"/>
    <row r="14" spans="1:8" ht="14.25" customHeight="1" x14ac:dyDescent="0.25">
      <c r="B14" s="44" t="s">
        <v>522</v>
      </c>
      <c r="C14" t="str">
        <f>VLOOKUP(B1,Respuestas!A2:HO600,3,0)</f>
        <v>PERLA VIRIDIANA GONZALEZ ESPARZA</v>
      </c>
    </row>
    <row r="15" spans="1:8" ht="14.25" customHeight="1" x14ac:dyDescent="0.25">
      <c r="B15" s="44" t="s">
        <v>523</v>
      </c>
      <c r="C15">
        <f ca="1">INT((TODAY()-VLOOKUP(B1,Respuestas!A2:HO600,4,0))/365.25)</f>
        <v>32</v>
      </c>
      <c r="D15" t="s">
        <v>524</v>
      </c>
    </row>
    <row r="16" spans="1:8" ht="14.25" customHeight="1" x14ac:dyDescent="0.25">
      <c r="B16" s="44" t="s">
        <v>525</v>
      </c>
      <c r="C16" s="39">
        <f ca="1">INT(H9-H11)+1</f>
        <v>84</v>
      </c>
      <c r="D16" t="s">
        <v>526</v>
      </c>
    </row>
    <row r="17" spans="1:8" ht="14.25" customHeight="1" x14ac:dyDescent="0.25"/>
    <row r="18" spans="1:8" ht="14.25" customHeight="1" x14ac:dyDescent="0.25"/>
    <row r="19" spans="1:8" ht="14.25" customHeight="1" x14ac:dyDescent="0.25">
      <c r="F19" s="44"/>
      <c r="G19" s="34"/>
      <c r="H19" s="45"/>
    </row>
    <row r="20" spans="1:8" ht="14.25" customHeight="1" x14ac:dyDescent="0.25">
      <c r="A20" s="46" t="s">
        <v>527</v>
      </c>
    </row>
    <row r="21" spans="1:8" ht="14.25" customHeight="1" x14ac:dyDescent="0.25">
      <c r="B21" s="44" t="s">
        <v>528</v>
      </c>
      <c r="C21" s="45" t="str">
        <f>VLOOKUP(B1,Respuestas!A2:HO600,5,0)</f>
        <v>Administración</v>
      </c>
    </row>
    <row r="22" spans="1:8" ht="14.25" customHeight="1" x14ac:dyDescent="0.25">
      <c r="B22" s="44" t="s">
        <v>529</v>
      </c>
      <c r="C22" s="45" t="str">
        <f>VLOOKUP(B1,Respuestas!A2:HO600,6,0)&amp;"  /  "&amp;VLOOKUP(B1,Respuestas!A2:HO600,10,0)</f>
        <v>Auxiliar Administrativo  /  Auxiliar Administrativo</v>
      </c>
    </row>
    <row r="23" spans="1:8" ht="14.25" customHeight="1" x14ac:dyDescent="0.25">
      <c r="B23" s="44" t="s">
        <v>530</v>
      </c>
      <c r="C23" s="45" t="str">
        <f>VLOOKUP(B1,Respuestas!A2:HO600,7,0)</f>
        <v>Soltero</v>
      </c>
    </row>
    <row r="24" spans="1:8" ht="14.25" customHeight="1" x14ac:dyDescent="0.25">
      <c r="B24" s="44" t="s">
        <v>531</v>
      </c>
      <c r="C24" s="45" t="str">
        <f>VLOOKUP(B1,Respuestas!A2:HO600,8,0)</f>
        <v>Femenino</v>
      </c>
    </row>
    <row r="25" spans="1:8" ht="14.25" customHeight="1" x14ac:dyDescent="0.25">
      <c r="B25" s="44" t="s">
        <v>532</v>
      </c>
      <c r="C25" s="45" t="str">
        <f>VLOOKUP(B1,Respuestas!A2:HO600,9,0)</f>
        <v>Universidad</v>
      </c>
    </row>
    <row r="26" spans="1:8" ht="14.25" customHeight="1" x14ac:dyDescent="0.25">
      <c r="B26" s="44" t="s">
        <v>533</v>
      </c>
      <c r="C26" s="45" t="str">
        <f>VLOOKUP(B1,Respuestas!A2:HO600,11,0)</f>
        <v>6 a 9 años</v>
      </c>
    </row>
    <row r="27" spans="1:8" ht="14.25" customHeight="1" x14ac:dyDescent="0.25">
      <c r="B27" s="44" t="s">
        <v>534</v>
      </c>
      <c r="C27" s="45" t="str">
        <f>VLOOKUP(B1,Respuestas!A2:HO600,12,0)</f>
        <v>mas de 3 años</v>
      </c>
    </row>
    <row r="28" spans="1:8" ht="14.25" customHeight="1" x14ac:dyDescent="0.25"/>
    <row r="29" spans="1:8" ht="14.25" customHeight="1" x14ac:dyDescent="0.25">
      <c r="B29" s="44" t="s">
        <v>535</v>
      </c>
      <c r="C29" s="45" t="str">
        <f>VLOOKUP(B1,Respuestas!A2:HO600,13,0)</f>
        <v>Lunes a viernes</v>
      </c>
    </row>
    <row r="30" spans="1:8" ht="14.25" customHeight="1" x14ac:dyDescent="0.25">
      <c r="B30" s="44" t="s">
        <v>536</v>
      </c>
      <c r="C30" s="45" t="str">
        <f>VLOOKUP(B1,Respuestas!A2:HO600,14,0)</f>
        <v>8 horas</v>
      </c>
    </row>
    <row r="31" spans="1:8" ht="14.25" customHeight="1" x14ac:dyDescent="0.25">
      <c r="B31" s="44" t="s">
        <v>537</v>
      </c>
      <c r="C31" s="45" t="str">
        <f>VLOOKUP(B1,Respuestas!A2:HO600,15,0)</f>
        <v>Público</v>
      </c>
      <c r="F31" s="44" t="s">
        <v>538</v>
      </c>
      <c r="G31" t="str">
        <f>VLOOKUP(B1,Respuestas!A2:HO600,17,0)</f>
        <v>No aplica</v>
      </c>
    </row>
    <row r="32" spans="1:8" ht="14.25" customHeight="1" x14ac:dyDescent="0.25">
      <c r="B32" s="44" t="s">
        <v>539</v>
      </c>
      <c r="C32" s="45" t="str">
        <f>VLOOKUP(B1,Respuestas!A2:HO600,18,0)</f>
        <v>mas de 1 hora</v>
      </c>
    </row>
    <row r="33" spans="1:13" ht="14.25" customHeight="1" x14ac:dyDescent="0.25">
      <c r="B33" s="44" t="s">
        <v>540</v>
      </c>
      <c r="C33" s="45" t="str">
        <f>VLOOKUP(B1,Respuestas!A2:HO600,19,0)</f>
        <v>De $50 a $100 pesos</v>
      </c>
    </row>
    <row r="34" spans="1:13" ht="14.25" customHeight="1" x14ac:dyDescent="0.25">
      <c r="B34" s="44" t="s">
        <v>541</v>
      </c>
      <c r="C34" s="45" t="str">
        <f>VLOOKUP(B1,Respuestas!A2:HO600,20,0)</f>
        <v>Propia</v>
      </c>
    </row>
    <row r="35" spans="1:13" ht="14.25" customHeight="1" x14ac:dyDescent="0.25"/>
    <row r="36" spans="1:13" ht="14.25" customHeight="1" x14ac:dyDescent="0.25">
      <c r="A36" s="47" t="s">
        <v>542</v>
      </c>
      <c r="B36" s="44"/>
    </row>
    <row r="37" spans="1:13" ht="14.25" customHeight="1" x14ac:dyDescent="0.25">
      <c r="B37" s="44"/>
      <c r="C37" s="34" t="s">
        <v>543</v>
      </c>
      <c r="D37" s="47" t="s">
        <v>544</v>
      </c>
      <c r="E37" s="34" t="s">
        <v>545</v>
      </c>
      <c r="F37" t="s">
        <v>546</v>
      </c>
      <c r="G37" s="34" t="s">
        <v>547</v>
      </c>
      <c r="H37" s="34" t="s">
        <v>548</v>
      </c>
    </row>
    <row r="38" spans="1:13" ht="14.25" customHeight="1" x14ac:dyDescent="0.25">
      <c r="B38" s="44" t="s">
        <v>549</v>
      </c>
      <c r="C38" s="34">
        <f>General!N1</f>
        <v>19</v>
      </c>
      <c r="D38" s="48">
        <f>+General!C1</f>
        <v>49</v>
      </c>
      <c r="E38" s="34">
        <f>General!M1</f>
        <v>80</v>
      </c>
      <c r="F38" t="str">
        <f t="shared" ref="F38:F42" si="0">IF(D38&lt;L38, "Bajo", IF(D38&gt;M38, "Alto", "ok"))</f>
        <v>ok</v>
      </c>
      <c r="G38" s="34">
        <f>COUNTIF(General!C4:C45, "&gt;=0")</f>
        <v>21</v>
      </c>
      <c r="H38" s="34">
        <f>COUNTIF(General!A4:A45, "&gt;=0")</f>
        <v>21</v>
      </c>
      <c r="I38">
        <f t="shared" ref="I38:I42" si="1">AVERAGE(C38,E38)</f>
        <v>49.5</v>
      </c>
      <c r="J38">
        <f t="shared" ref="J38:J42" si="2">+E38-I38</f>
        <v>30.5</v>
      </c>
      <c r="K38">
        <f t="shared" ref="K38:K42" si="3">+J38/2.5</f>
        <v>12.2</v>
      </c>
      <c r="L38">
        <f t="shared" ref="L38:L42" si="4">+I38-K38</f>
        <v>37.299999999999997</v>
      </c>
      <c r="M38">
        <f t="shared" ref="M38:M42" si="5">+I38+K38</f>
        <v>61.7</v>
      </c>
    </row>
    <row r="39" spans="1:13" ht="14.25" customHeight="1" x14ac:dyDescent="0.25">
      <c r="B39" s="44" t="s">
        <v>550</v>
      </c>
      <c r="C39" s="34">
        <f>+'Ambiente Laboral'!L1</f>
        <v>27</v>
      </c>
      <c r="D39" s="48">
        <f>'Ambiente Laboral'!C1</f>
        <v>39.333333333333336</v>
      </c>
      <c r="E39" s="34">
        <f>+'Ambiente Laboral'!M1</f>
        <v>148</v>
      </c>
      <c r="F39" t="str">
        <f t="shared" si="0"/>
        <v>Bajo</v>
      </c>
      <c r="G39" s="34">
        <f>COUNTIF('Ambiente Laboral'!C4:C158, "&gt;=0")</f>
        <v>45</v>
      </c>
      <c r="H39" s="34">
        <f>COUNTIF('Ambiente Laboral'!A4:A158, "&gt;=0")</f>
        <v>68</v>
      </c>
      <c r="I39">
        <f t="shared" si="1"/>
        <v>87.5</v>
      </c>
      <c r="J39">
        <f t="shared" si="2"/>
        <v>60.5</v>
      </c>
      <c r="K39">
        <f t="shared" si="3"/>
        <v>24.2</v>
      </c>
      <c r="L39">
        <f t="shared" si="4"/>
        <v>63.3</v>
      </c>
      <c r="M39">
        <f t="shared" si="5"/>
        <v>111.7</v>
      </c>
    </row>
    <row r="40" spans="1:13" ht="14.25" customHeight="1" x14ac:dyDescent="0.25">
      <c r="B40" s="44" t="s">
        <v>551</v>
      </c>
      <c r="C40" s="34">
        <f>+Habitos!L1</f>
        <v>4</v>
      </c>
      <c r="D40" s="48">
        <f>+Habitos!C1</f>
        <v>12</v>
      </c>
      <c r="E40" s="34">
        <f>+Habitos!M1</f>
        <v>44</v>
      </c>
      <c r="F40" t="str">
        <f t="shared" si="0"/>
        <v>Bajo</v>
      </c>
      <c r="G40" s="34">
        <f>COUNTIF(Habitos!C4:C52, "&gt;=0")</f>
        <v>14</v>
      </c>
      <c r="H40" s="34">
        <f>COUNTIF(Habitos!A4:A52, "&gt;=0")</f>
        <v>20</v>
      </c>
      <c r="I40">
        <f t="shared" si="1"/>
        <v>24</v>
      </c>
      <c r="J40">
        <f t="shared" si="2"/>
        <v>20</v>
      </c>
      <c r="K40">
        <f t="shared" si="3"/>
        <v>8</v>
      </c>
      <c r="L40">
        <f t="shared" si="4"/>
        <v>16</v>
      </c>
      <c r="M40">
        <f t="shared" si="5"/>
        <v>32</v>
      </c>
    </row>
    <row r="41" spans="1:13" ht="14.25" customHeight="1" x14ac:dyDescent="0.25">
      <c r="B41" s="44" t="s">
        <v>552</v>
      </c>
      <c r="C41" s="34">
        <f>+'Ponderación médica'!L2</f>
        <v>0</v>
      </c>
      <c r="D41" s="48">
        <f>'Ponderación médica'!J2</f>
        <v>32</v>
      </c>
      <c r="E41" s="34">
        <f>+'Ponderación médica'!M2</f>
        <v>135</v>
      </c>
      <c r="F41" t="str">
        <f t="shared" si="0"/>
        <v>Bajo</v>
      </c>
      <c r="G41" s="34">
        <f>COUNTIF('Ponderación médica'!J4:J93, "&gt;=0")</f>
        <v>90</v>
      </c>
      <c r="H41" s="34">
        <f>COUNTIF('Ponderación médica'!A4:A93, "&gt;=0")</f>
        <v>90</v>
      </c>
      <c r="I41">
        <f t="shared" si="1"/>
        <v>67.5</v>
      </c>
      <c r="J41">
        <f t="shared" si="2"/>
        <v>67.5</v>
      </c>
      <c r="K41">
        <f t="shared" si="3"/>
        <v>27</v>
      </c>
      <c r="L41">
        <f t="shared" si="4"/>
        <v>40.5</v>
      </c>
      <c r="M41">
        <f t="shared" si="5"/>
        <v>94.5</v>
      </c>
    </row>
    <row r="42" spans="1:13" ht="14.25" customHeight="1" x14ac:dyDescent="0.25">
      <c r="B42" s="44" t="s">
        <v>553</v>
      </c>
      <c r="C42" s="34">
        <f>+Psicologicos!L1</f>
        <v>4</v>
      </c>
      <c r="D42" s="48">
        <f>+Psicologicos!C1</f>
        <v>4</v>
      </c>
      <c r="E42" s="34">
        <f>+Psicologicos!M1</f>
        <v>38</v>
      </c>
      <c r="F42" t="str">
        <f t="shared" si="0"/>
        <v>Bajo</v>
      </c>
      <c r="G42" s="34">
        <f>COUNTIF(Psicologicos!C4:C55, "&gt;=0")</f>
        <v>18</v>
      </c>
      <c r="H42" s="34">
        <f>COUNTIF(Psicologicos!A4:A55, "&gt;=0")</f>
        <v>18</v>
      </c>
      <c r="I42">
        <f t="shared" si="1"/>
        <v>21</v>
      </c>
      <c r="J42">
        <f t="shared" si="2"/>
        <v>17</v>
      </c>
      <c r="K42">
        <f t="shared" si="3"/>
        <v>6.8</v>
      </c>
      <c r="L42">
        <f t="shared" si="4"/>
        <v>14.2</v>
      </c>
      <c r="M42">
        <f t="shared" si="5"/>
        <v>27.8</v>
      </c>
    </row>
    <row r="43" spans="1:13" ht="14.25" customHeight="1" x14ac:dyDescent="0.25">
      <c r="C43" s="44"/>
    </row>
    <row r="44" spans="1:13" ht="14.25" customHeight="1" x14ac:dyDescent="0.25">
      <c r="C44" s="44"/>
    </row>
    <row r="45" spans="1:13" ht="14.25" customHeight="1" x14ac:dyDescent="0.25"/>
    <row r="46" spans="1:13" ht="14.25" customHeight="1" x14ac:dyDescent="0.25"/>
    <row r="47" spans="1:13" ht="14.25" customHeight="1" x14ac:dyDescent="0.25"/>
    <row r="48" spans="1:13" ht="14.25" customHeight="1" x14ac:dyDescent="0.25"/>
    <row r="49" spans="1:9" ht="14.25" customHeight="1" x14ac:dyDescent="0.25"/>
    <row r="50" spans="1:9" ht="14.25" customHeight="1" x14ac:dyDescent="0.25"/>
    <row r="51" spans="1:9" ht="14.25" customHeight="1" x14ac:dyDescent="0.25"/>
    <row r="52" spans="1:9" ht="14.25" customHeight="1" x14ac:dyDescent="0.25"/>
    <row r="53" spans="1:9" ht="14.25" customHeight="1" x14ac:dyDescent="0.25"/>
    <row r="54" spans="1:9" ht="14.25" customHeight="1" x14ac:dyDescent="0.25"/>
    <row r="55" spans="1:9" ht="14.25" customHeight="1" x14ac:dyDescent="0.25"/>
    <row r="56" spans="1:9" ht="14.25" customHeight="1" x14ac:dyDescent="0.25"/>
    <row r="57" spans="1:9" ht="14.25" customHeight="1" x14ac:dyDescent="0.25"/>
    <row r="58" spans="1:9" ht="14.25" customHeight="1" x14ac:dyDescent="0.25"/>
    <row r="59" spans="1:9" ht="14.25" customHeight="1" x14ac:dyDescent="0.25"/>
    <row r="60" spans="1:9" ht="14.25" customHeight="1" x14ac:dyDescent="0.25">
      <c r="A60" s="39">
        <f>COUNTIF(F38:F42, "Bajo")</f>
        <v>4</v>
      </c>
      <c r="B60" s="39">
        <f>+A60*3</f>
        <v>12</v>
      </c>
    </row>
    <row r="61" spans="1:9" ht="14.25" customHeight="1" x14ac:dyDescent="0.25">
      <c r="A61" s="39">
        <f>COUNTIF(F38:F42, "Alto")</f>
        <v>0</v>
      </c>
      <c r="B61" s="39">
        <f>+A61*5</f>
        <v>0</v>
      </c>
      <c r="D61" s="46" t="s">
        <v>554</v>
      </c>
      <c r="F61" s="46">
        <f>SUM(B60:B61)/100+1</f>
        <v>1.1200000000000001</v>
      </c>
      <c r="H61" s="42">
        <v>1</v>
      </c>
    </row>
    <row r="62" spans="1:9" ht="14.25" customHeight="1" x14ac:dyDescent="0.25">
      <c r="A62" s="46" t="s">
        <v>555</v>
      </c>
    </row>
    <row r="63" spans="1:9" ht="14.25" customHeight="1" x14ac:dyDescent="0.25">
      <c r="A63" s="44" t="s">
        <v>556</v>
      </c>
      <c r="B63" s="57" t="str">
        <f>IF(Habitos!C6=" ", "", "86. la cantidad de cigarros al día y los años que lleva fumando o que fumo?  "&amp;Habitos!C6)</f>
        <v/>
      </c>
      <c r="C63" s="58"/>
      <c r="D63" s="58"/>
      <c r="E63" s="58"/>
      <c r="F63" s="58"/>
      <c r="G63" s="58"/>
      <c r="H63" s="58"/>
      <c r="I63" s="58"/>
    </row>
    <row r="64" spans="1:9" ht="30" customHeight="1" x14ac:dyDescent="0.25">
      <c r="A64" s="49" t="s">
        <v>556</v>
      </c>
      <c r="B64" s="59" t="str">
        <f>IF(Habitos!C14=" ", "", "90. especificar el tipo de alcohol (cerveza, tequila, etc.), la cantidad de consumo por semana (latas, vasos, botella) y el numero de años que haz consumido alcohol?  "&amp;Habitos!C14)</f>
        <v>90. especificar el tipo de alcohol (cerveza, tequila, etc.), la cantidad de consumo por semana (latas, vasos, botella) y el numero de años que haz consumido alcohol?  Tequila, no he consumido durante mucho tiempo y aproximadamente 9 años</v>
      </c>
      <c r="C64" s="58"/>
      <c r="D64" s="58"/>
      <c r="E64" s="58"/>
      <c r="F64" s="58"/>
      <c r="G64" s="58"/>
      <c r="H64" s="58"/>
      <c r="I64" s="58"/>
    </row>
    <row r="65" spans="1:9" ht="14.25" customHeight="1" x14ac:dyDescent="0.25">
      <c r="A65" s="44" t="s">
        <v>556</v>
      </c>
      <c r="B65" s="57" t="str">
        <f>IF(Habitos!C24=" ", "", "94. ¿Tiene usted alguno de los siguientes padecimientos heredofamiliares o crónicos degenerativos?  "&amp;Habitos!C24)</f>
        <v/>
      </c>
      <c r="C65" s="58"/>
      <c r="D65" s="58"/>
      <c r="E65" s="58"/>
      <c r="F65" s="58"/>
      <c r="G65" s="58"/>
      <c r="H65" s="58"/>
      <c r="I65" s="58"/>
    </row>
    <row r="66" spans="1:9" ht="14.25" customHeight="1" x14ac:dyDescent="0.25">
      <c r="A66" s="44" t="s">
        <v>556</v>
      </c>
      <c r="B66" s="57" t="str">
        <f>IF(Habitos!C28=" ", "", "97. Favor de especificar el nombre del  medicamento (os) o suplementos que consume: "&amp;Habitos!C28)</f>
        <v>97. Favor de especificar el nombre del  medicamento (os) o suplementos que consume: No consumo</v>
      </c>
      <c r="C66" s="58"/>
      <c r="D66" s="58"/>
      <c r="E66" s="58"/>
      <c r="F66" s="58"/>
      <c r="G66" s="58"/>
      <c r="H66" s="58"/>
      <c r="I66" s="58"/>
    </row>
    <row r="67" spans="1:9" ht="14.25" customHeight="1" x14ac:dyDescent="0.25">
      <c r="A67" s="44" t="s">
        <v>556</v>
      </c>
      <c r="B67" s="57" t="str">
        <f>IF(Habitos!C30=" ", "", "98. Alergias: Si o No y  favor de especificar a que es alérgico.  "&amp;Habitos!C30)</f>
        <v>98. Alergias: Si o No y  favor de especificar a que es alérgico.  NO</v>
      </c>
      <c r="C67" s="58"/>
      <c r="D67" s="58"/>
      <c r="E67" s="58"/>
      <c r="F67" s="58"/>
      <c r="G67" s="58"/>
      <c r="H67" s="58"/>
      <c r="I67" s="58"/>
    </row>
    <row r="68" spans="1:9" ht="14.25" customHeight="1" x14ac:dyDescent="0.25">
      <c r="A68" s="44" t="s">
        <v>556</v>
      </c>
      <c r="B68" s="57" t="str">
        <f>IF('Ambiente Laboral'!C134=" ", "", "99. ¿Alguna vez ha sufrido un accidente de trabajo?  "&amp;'Ambiente Laboral'!C134)</f>
        <v>99. ¿Alguna vez ha sufrido un accidente de trabajo?  NO</v>
      </c>
      <c r="C68" s="58"/>
      <c r="D68" s="58"/>
      <c r="E68" s="58"/>
      <c r="F68" s="58"/>
      <c r="G68" s="58"/>
      <c r="H68" s="58"/>
      <c r="I68" s="58"/>
    </row>
    <row r="69" spans="1:9" ht="14.25" customHeight="1" x14ac:dyDescent="0.25">
      <c r="A69" s="44" t="s">
        <v>556</v>
      </c>
      <c r="B69" s="57" t="str">
        <f>IF('Ambiente Laboral'!C138=" ", "", "101. En su historial de trabajo, ¿ha tenido alguna incapacidad?   "&amp;'Ambiente Laboral'!C138)</f>
        <v>101. En su historial de trabajo, ¿ha tenido alguna incapacidad?   NINGUNA</v>
      </c>
      <c r="C69" s="58"/>
      <c r="D69" s="58"/>
      <c r="E69" s="58"/>
      <c r="F69" s="58"/>
      <c r="G69" s="58"/>
      <c r="H69" s="58"/>
      <c r="I69" s="58"/>
    </row>
    <row r="70" spans="1:9" ht="14.25" customHeight="1" x14ac:dyDescent="0.25">
      <c r="A70" s="44" t="s">
        <v>556</v>
      </c>
      <c r="B70" s="57" t="str">
        <f>IF(Habitos!C34=" ", "", "104. Tipo de droga.  "&amp;Habitos!C34)</f>
        <v>104. Tipo de droga.  NINGUNA</v>
      </c>
      <c r="C70" s="58"/>
      <c r="D70" s="58"/>
      <c r="E70" s="58"/>
      <c r="F70" s="58"/>
      <c r="G70" s="58"/>
      <c r="H70" s="58"/>
      <c r="I70" s="58"/>
    </row>
    <row r="71" spans="1:9" ht="14.25" customHeight="1" x14ac:dyDescent="0.25"/>
    <row r="72" spans="1:9" ht="14.25" customHeight="1" x14ac:dyDescent="0.25"/>
    <row r="73" spans="1:9" ht="14.25" customHeight="1" x14ac:dyDescent="0.25"/>
    <row r="74" spans="1:9" ht="14.25" customHeight="1" x14ac:dyDescent="0.25"/>
    <row r="75" spans="1:9" ht="14.25" customHeight="1" x14ac:dyDescent="0.25"/>
    <row r="76" spans="1:9" ht="14.25" customHeight="1" x14ac:dyDescent="0.25"/>
    <row r="77" spans="1:9" ht="14.25" customHeight="1" x14ac:dyDescent="0.25"/>
    <row r="78" spans="1:9" ht="14.25" customHeight="1" x14ac:dyDescent="0.25"/>
    <row r="79" spans="1:9" ht="14.25" customHeight="1" x14ac:dyDescent="0.25"/>
    <row r="80" spans="1:9"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sheetData>
  <mergeCells count="8">
    <mergeCell ref="B70:I70"/>
    <mergeCell ref="B68:I68"/>
    <mergeCell ref="B69:I69"/>
    <mergeCell ref="B63:I63"/>
    <mergeCell ref="B64:I64"/>
    <mergeCell ref="B65:I65"/>
    <mergeCell ref="B66:I66"/>
    <mergeCell ref="B67:I67"/>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Respuestas</vt:lpstr>
      <vt:lpstr>General</vt:lpstr>
      <vt:lpstr>Habitos</vt:lpstr>
      <vt:lpstr>Psicologicos</vt:lpstr>
      <vt:lpstr>Ambiente Laboral</vt:lpstr>
      <vt:lpstr>Ponderación médica</vt:lpstr>
      <vt:lpstr>Reporte Ind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Gonzalez</dc:creator>
  <cp:lastModifiedBy>Lenovo</cp:lastModifiedBy>
  <cp:lastPrinted>2025-08-06T08:27:32Z</cp:lastPrinted>
  <dcterms:created xsi:type="dcterms:W3CDTF">2025-07-24T05:33:20Z</dcterms:created>
  <dcterms:modified xsi:type="dcterms:W3CDTF">2025-09-30T22:59:43Z</dcterms:modified>
</cp:coreProperties>
</file>